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ytanaz_connect_ust_hk/Documents/ACCESS/Special_PU_proj/doc/"/>
    </mc:Choice>
  </mc:AlternateContent>
  <xr:revisionPtr revIDLastSave="506" documentId="13_ncr:1_{AF02040C-4A85-4A6E-BDC1-3D60036B5785}" xr6:coauthVersionLast="47" xr6:coauthVersionMax="47" xr10:uidLastSave="{4CB52177-6FA1-443C-85CC-0C1ED78D32C7}"/>
  <bookViews>
    <workbookView xWindow="-120" yWindow="-120" windowWidth="38640" windowHeight="21120" activeTab="2" xr2:uid="{00000000-000D-0000-FFFF-FFFF00000000}"/>
  </bookViews>
  <sheets>
    <sheet name="IO" sheetId="1" r:id="rId1"/>
    <sheet name="Instruction(SPU)" sheetId="2" r:id="rId2"/>
    <sheet name="Spec Support" sheetId="11" r:id="rId3"/>
    <sheet name="Buffer" sheetId="6" r:id="rId4"/>
    <sheet name="op statistics (SoftMax, pwl)" sheetId="8" r:id="rId5"/>
    <sheet name="op statistics (SoftMax, lut)" sheetId="9" r:id="rId6"/>
    <sheet name="op statistics (LayerNorm)" sheetId="7" r:id="rId7"/>
    <sheet name="SRAM RW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9" l="1"/>
  <c r="I24" i="9"/>
  <c r="I22" i="9"/>
  <c r="H20" i="9"/>
  <c r="I20" i="9" s="1"/>
  <c r="H19" i="9"/>
  <c r="I19" i="9" s="1"/>
  <c r="I18" i="9"/>
  <c r="H17" i="9"/>
  <c r="I17" i="9" s="1"/>
  <c r="H16" i="9"/>
  <c r="I16" i="9" s="1"/>
  <c r="H15" i="9"/>
  <c r="I15" i="9" s="1"/>
  <c r="H14" i="9"/>
  <c r="I14" i="9" s="1"/>
  <c r="I28" i="8"/>
  <c r="I30" i="8" s="1"/>
  <c r="H24" i="8"/>
  <c r="H23" i="8"/>
  <c r="H21" i="8"/>
  <c r="I21" i="8" s="1"/>
  <c r="H20" i="8"/>
  <c r="I20" i="8" s="1"/>
  <c r="H19" i="8"/>
  <c r="H18" i="8"/>
  <c r="I18" i="8" s="1"/>
  <c r="H17" i="8"/>
  <c r="H16" i="8"/>
  <c r="I16" i="8" s="1"/>
  <c r="I24" i="8"/>
  <c r="I23" i="8"/>
  <c r="I22" i="8"/>
  <c r="I19" i="8"/>
  <c r="I17" i="8"/>
  <c r="I36" i="7"/>
  <c r="I34" i="7"/>
  <c r="H29" i="7"/>
  <c r="I29" i="7" s="1"/>
  <c r="H28" i="7"/>
  <c r="H21" i="7"/>
  <c r="H20" i="7"/>
  <c r="I20" i="7" s="1"/>
  <c r="H19" i="7"/>
  <c r="I19" i="7"/>
  <c r="H30" i="7"/>
  <c r="I22" i="7"/>
  <c r="I23" i="7"/>
  <c r="I24" i="7"/>
  <c r="I25" i="7"/>
  <c r="I26" i="7"/>
  <c r="I27" i="7"/>
  <c r="I30" i="7"/>
  <c r="I28" i="7"/>
  <c r="I21" i="7"/>
  <c r="F13" i="2"/>
  <c r="F8" i="2"/>
  <c r="E8" i="2" s="1"/>
  <c r="F9" i="2" s="1"/>
  <c r="E9" i="2" s="1"/>
  <c r="F10" i="2" s="1"/>
  <c r="E10" i="2" s="1"/>
  <c r="F11" i="2" s="1"/>
  <c r="E11" i="2" s="1"/>
  <c r="F12" i="2" s="1"/>
  <c r="I21" i="9" l="1"/>
  <c r="I25" i="8"/>
  <c r="I26" i="8" s="1"/>
  <c r="I31" i="7"/>
  <c r="I32" i="7" s="1"/>
  <c r="E12" i="2"/>
  <c r="E13" i="2" s="1"/>
  <c r="F14" i="2" s="1"/>
  <c r="E14" i="2" l="1"/>
  <c r="F15" i="2" l="1"/>
  <c r="E15" i="2" s="1"/>
  <c r="F16" i="2" l="1"/>
  <c r="E16" i="2" s="1"/>
  <c r="F17" i="2" l="1"/>
  <c r="E17" i="2" s="1"/>
  <c r="F18" i="2" s="1"/>
  <c r="E18" i="2" s="1"/>
  <c r="F19" i="2" l="1"/>
  <c r="E19" i="2" s="1"/>
  <c r="F23" i="2" s="1"/>
  <c r="E23" i="2" s="1"/>
  <c r="F24" i="2" s="1"/>
  <c r="E24" i="2" s="1"/>
  <c r="F25" i="2" s="1"/>
  <c r="E25" i="2" s="1"/>
  <c r="F26" i="2" s="1"/>
  <c r="E26" i="2" s="1"/>
  <c r="F29" i="2" s="1"/>
  <c r="E29" i="2" l="1"/>
  <c r="C31" i="2" s="1"/>
</calcChain>
</file>

<file path=xl/sharedStrings.xml><?xml version="1.0" encoding="utf-8"?>
<sst xmlns="http://schemas.openxmlformats.org/spreadsheetml/2006/main" count="375" uniqueCount="197">
  <si>
    <t>Signal Name</t>
  </si>
  <si>
    <t>I/O</t>
  </si>
  <si>
    <t>Bit Width</t>
  </si>
  <si>
    <t>Descriptions</t>
  </si>
  <si>
    <t>rst_n</t>
  </si>
  <si>
    <t>reset input, active-low</t>
  </si>
  <si>
    <t>Global Signals</t>
  </si>
  <si>
    <t>core_clk</t>
  </si>
  <si>
    <t>process clock</t>
  </si>
  <si>
    <t>I</t>
  </si>
  <si>
    <t>fmbuf Interface</t>
  </si>
  <si>
    <t>O</t>
  </si>
  <si>
    <t>Control Interface</t>
  </si>
  <si>
    <t>Note</t>
  </si>
  <si>
    <t>Start Bit</t>
  </si>
  <si>
    <t>End Bit</t>
  </si>
  <si>
    <t>OP</t>
  </si>
  <si>
    <t>range [0, 8191]</t>
  </si>
  <si>
    <t>range [0, 2047]</t>
  </si>
  <si>
    <t>bitwidth use parameter</t>
  </si>
  <si>
    <t>ISA Fields</t>
    <phoneticPr fontId="1" type="noConversion"/>
  </si>
  <si>
    <t># of bits</t>
    <phoneticPr fontId="1" type="noConversion"/>
  </si>
  <si>
    <t>Valid Data</t>
    <phoneticPr fontId="1" type="noConversion"/>
  </si>
  <si>
    <t>Description</t>
    <phoneticPr fontId="1" type="noConversion"/>
  </si>
  <si>
    <t>4'h1: CT-engine (w/o act params)
4'h2: CT-engine (with act params)
4'h3: Resize
4'h4: SPU</t>
  </si>
  <si>
    <t>Neural Network Fields</t>
    <phoneticPr fontId="1" type="noConversion"/>
  </si>
  <si>
    <t>last_lyr_flag</t>
  </si>
  <si>
    <t>last layer flag</t>
  </si>
  <si>
    <t>0 means 1 pixel</t>
    <phoneticPr fontId="1" type="noConversion"/>
  </si>
  <si>
    <t>Address Fields</t>
    <phoneticPr fontId="1" type="noConversion"/>
  </si>
  <si>
    <t>Total</t>
    <phoneticPr fontId="1" type="noConversion"/>
  </si>
  <si>
    <t>lbuf_ren</t>
  </si>
  <si>
    <t>lbuf_raddr</t>
  </si>
  <si>
    <t>lbuf_rdata</t>
  </si>
  <si>
    <t>lbuf_wen</t>
  </si>
  <si>
    <t>lbuf_waddr</t>
  </si>
  <si>
    <t>lbuf_wdata</t>
  </si>
  <si>
    <t>delay cycle# use parameter</t>
  </si>
  <si>
    <t>Common field to indicate operation and target engines.  
OP=4'h4 for SPU, instr_length = 2x64bit</t>
  </si>
  <si>
    <t>SPU_OP</t>
  </si>
  <si>
    <t>1'h0: softmax
1'h1: layer_norm</t>
  </si>
  <si>
    <t>Operators for SPU to process</t>
  </si>
  <si>
    <t>last layer flag, this field is for chip-controller to read</t>
  </si>
  <si>
    <t>matrix_y</t>
  </si>
  <si>
    <t>Input matrix height (token length)</t>
  </si>
  <si>
    <t>shift0</t>
  </si>
  <si>
    <t>shift1</t>
  </si>
  <si>
    <t>im_base_addr</t>
    <phoneticPr fontId="1" type="noConversion"/>
  </si>
  <si>
    <t>input matrix base address; buffer depth is 8192, can be extended to 32768</t>
    <phoneticPr fontId="1" type="noConversion"/>
  </si>
  <si>
    <t>om_base_addr</t>
    <phoneticPr fontId="1" type="noConversion"/>
  </si>
  <si>
    <t>output matrix base address; buffer depth is 8192, can be extended to 32768</t>
    <phoneticPr fontId="1" type="noConversion"/>
  </si>
  <si>
    <t>im_block_align</t>
    <phoneticPr fontId="1" type="noConversion"/>
  </si>
  <si>
    <t>Step of input-matrix block, &gt;= matrix_x/8</t>
    <phoneticPr fontId="1" type="noConversion"/>
  </si>
  <si>
    <t>om_block_align</t>
    <phoneticPr fontId="1" type="noConversion"/>
  </si>
  <si>
    <t>Step of output-matrix block, &gt;= matrix_x/8</t>
    <phoneticPr fontId="1" type="noConversion"/>
  </si>
  <si>
    <t>spu_start</t>
  </si>
  <si>
    <t>spu_end</t>
  </si>
  <si>
    <t>spu_instr</t>
  </si>
  <si>
    <t>spu process start (a pulse)</t>
  </si>
  <si>
    <t>spu process ending (a pulse)</t>
  </si>
  <si>
    <t>instruction for the layer of spu, validated by spu_start pulse</t>
  </si>
  <si>
    <t>lbuf read enable</t>
  </si>
  <si>
    <t>lbuf read address, validated by lbuf_ren</t>
  </si>
  <si>
    <t>lbuf read data, 2cycle delay from lbuf_ren</t>
  </si>
  <si>
    <t>lbuf write enable</t>
  </si>
  <si>
    <t>lbuf write address, validated by lbuf_wen</t>
  </si>
  <si>
    <t>lbuf write data, validated by lbuf_wen</t>
  </si>
  <si>
    <t>shift2</t>
  </si>
  <si>
    <r>
      <t xml:space="preserve">Quantization shift for input of softmax </t>
    </r>
    <r>
      <rPr>
        <sz val="11"/>
        <color theme="5" tint="-0.249977111117893"/>
        <rFont val="等线"/>
        <charset val="134"/>
        <scheme val="minor"/>
      </rPr>
      <t>(correspond scale &lt;= 1)</t>
    </r>
    <phoneticPr fontId="12" type="noConversion"/>
  </si>
  <si>
    <t>Quantization shift for output of exp in softmax (correspond scale &lt;= 1)</t>
    <phoneticPr fontId="12" type="noConversion"/>
  </si>
  <si>
    <r>
      <t>Quantization shift for output of initial layer norm or output of softmax</t>
    </r>
    <r>
      <rPr>
        <sz val="11"/>
        <color theme="5" tint="-0.249977111117893"/>
        <rFont val="等线"/>
        <charset val="134"/>
        <scheme val="minor"/>
      </rPr>
      <t xml:space="preserve"> (correspond scale &lt;= 1)</t>
    </r>
    <phoneticPr fontId="12" type="noConversion"/>
  </si>
  <si>
    <t>ln_div_m</t>
  </si>
  <si>
    <t>ln_div_e</t>
  </si>
  <si>
    <t>range [0, 127]</t>
  </si>
  <si>
    <t>range [0, 31]</t>
  </si>
  <si>
    <t>dyadic representation of channel of layernorm (m), part of matrix_x</t>
  </si>
  <si>
    <t>range[0, 15]</t>
  </si>
  <si>
    <t>3bit LUT config</t>
  </si>
  <si>
    <t>configuration of 3bit lut softmax mode, 16bit for every situation of totally 8</t>
  </si>
  <si>
    <t>softmax_mode</t>
  </si>
  <si>
    <t>layernorm_mode</t>
  </si>
  <si>
    <t>op mode of softmax</t>
  </si>
  <si>
    <t>1'h0: pwl with rowmax
1'h1: lut without rowmax</t>
  </si>
  <si>
    <t>LUT Configs</t>
  </si>
  <si>
    <t>range[0, 31]</t>
  </si>
  <si>
    <t>op mode of norm (reserved for rmsnorm)</t>
  </si>
  <si>
    <t>layernorm (e), usage: mean_x = sumx * 1 / matrix_x = sum_x * ln_div_m &gt;&gt; ln_div_e</t>
  </si>
  <si>
    <t>Source</t>
  </si>
  <si>
    <t>onnx logging</t>
  </si>
  <si>
    <t>range [0, 22]</t>
    <phoneticPr fontId="12" type="noConversion"/>
  </si>
  <si>
    <t>1'h0: layer_norm
1'h1: rms_norm</t>
    <phoneticPr fontId="12" type="noConversion"/>
  </si>
  <si>
    <t>matrix_x_h</t>
  </si>
  <si>
    <t>matrix_x_w</t>
  </si>
  <si>
    <t>Add / Sub</t>
  </si>
  <si>
    <t>Mul</t>
  </si>
  <si>
    <t>Comp</t>
  </si>
  <si>
    <t>Shift</t>
  </si>
  <si>
    <t>matrix_x</t>
  </si>
  <si>
    <t>matrix_x-1</t>
  </si>
  <si>
    <t>sum(X)</t>
  </si>
  <si>
    <t>sum(X^2)</t>
  </si>
  <si>
    <t>X * X</t>
  </si>
  <si>
    <t>E(X)=sum(X)*m&gt;&gt;e</t>
  </si>
  <si>
    <t>E(X^2)=sum(X^2)*m&gt;&gt;e</t>
  </si>
  <si>
    <t>E^2(X)</t>
  </si>
  <si>
    <t>var=E^2(X)-E(X)</t>
  </si>
  <si>
    <t>Operation</t>
  </si>
  <si>
    <t>Coeff</t>
  </si>
  <si>
    <t>std=sqrt(var)</t>
  </si>
  <si>
    <t>r=reci(std)</t>
  </si>
  <si>
    <t>X'=X-E(X)</t>
  </si>
  <si>
    <t>X_out=X' * r</t>
  </si>
  <si>
    <t>quan(X_out)</t>
  </si>
  <si>
    <t>LayerNorm</t>
  </si>
  <si>
    <t>Stage</t>
  </si>
  <si>
    <t>Module</t>
  </si>
  <si>
    <t>A</t>
  </si>
  <si>
    <t>B</t>
  </si>
  <si>
    <t>C</t>
  </si>
  <si>
    <t>op per row</t>
  </si>
  <si>
    <t>total op</t>
  </si>
  <si>
    <t>Sum</t>
  </si>
  <si>
    <t>Equation</t>
  </si>
  <si>
    <t>matrix_x (x)</t>
  </si>
  <si>
    <t>matrix_y (y)</t>
  </si>
  <si>
    <t>2*(x-1)+1+1*12+1*19+2*x</t>
  </si>
  <si>
    <t>1*x+1+1+1</t>
  </si>
  <si>
    <t>1*12+1*19+1*x</t>
  </si>
  <si>
    <t>1+1+2*12+4*19+1*x</t>
  </si>
  <si>
    <t>4*x+30</t>
  </si>
  <si>
    <t>x+3</t>
  </si>
  <si>
    <t>31+x</t>
  </si>
  <si>
    <t>102+x</t>
  </si>
  <si>
    <t>Verification</t>
  </si>
  <si>
    <t>SoftMax</t>
  </si>
  <si>
    <t>7*matrix_x+166</t>
  </si>
  <si>
    <t>matrix_y*(7*matrix_x+166)</t>
  </si>
  <si>
    <t>xmax=max(X)</t>
  </si>
  <si>
    <t>X_in=X-xmax</t>
  </si>
  <si>
    <t>idx=comp(X, segpoints)</t>
  </si>
  <si>
    <t>quan_exp=quan(exp)</t>
  </si>
  <si>
    <t>F=sum(quan_exp)</t>
  </si>
  <si>
    <t>r=reci(F)</t>
  </si>
  <si>
    <t>D</t>
  </si>
  <si>
    <t>X_out=quan_exp * r</t>
  </si>
  <si>
    <t>exp=k*X+b</t>
  </si>
  <si>
    <t>3*x+1*(x-1)+21</t>
  </si>
  <si>
    <t>4*x+20</t>
  </si>
  <si>
    <t>1*x</t>
  </si>
  <si>
    <t>x</t>
  </si>
  <si>
    <t>1*(x-1)+9*x+21</t>
  </si>
  <si>
    <t>10*x+20</t>
  </si>
  <si>
    <t>2*x+4*21</t>
  </si>
  <si>
    <t>2*x+84</t>
  </si>
  <si>
    <t>17*matrix_x+124</t>
  </si>
  <si>
    <t>matrix_y*(17*matrix_x+124)</t>
  </si>
  <si>
    <t>X_in=X+bound</t>
  </si>
  <si>
    <t>exp=lut(X_in)</t>
  </si>
  <si>
    <t>2*x+1*(x-1)+21</t>
  </si>
  <si>
    <t>3*x+20</t>
  </si>
  <si>
    <t>2*x+21</t>
  </si>
  <si>
    <t>7*matrix_x+125</t>
  </si>
  <si>
    <t>matrix_y*(7*matrix_x+125)</t>
  </si>
  <si>
    <t>LBUF Read</t>
  </si>
  <si>
    <t>LBUF Write</t>
  </si>
  <si>
    <t>Cache Read</t>
  </si>
  <si>
    <t>Cache Write</t>
  </si>
  <si>
    <t>Mode</t>
  </si>
  <si>
    <t>PWL</t>
  </si>
  <si>
    <t>LUT</t>
  </si>
  <si>
    <t>RMSNorm</t>
  </si>
  <si>
    <t>N=matrix_y * matrix_x (after padding if needed)</t>
  </si>
  <si>
    <t>(after padding if needed)</t>
  </si>
  <si>
    <t>N</t>
  </si>
  <si>
    <t>2N</t>
  </si>
  <si>
    <t>Input matrix width (channel) h, for padding calculation</t>
  </si>
  <si>
    <t>Input matrix width (channel) w, for padding calculation</t>
  </si>
  <si>
    <t>Mode</t>
    <phoneticPr fontId="12" type="noConversion"/>
  </si>
  <si>
    <t>Module</t>
    <phoneticPr fontId="12" type="noConversion"/>
  </si>
  <si>
    <t>PWL</t>
    <phoneticPr fontId="12" type="noConversion"/>
  </si>
  <si>
    <t>LUT</t>
    <phoneticPr fontId="12" type="noConversion"/>
  </si>
  <si>
    <t>LayerNorm</t>
    <phoneticPr fontId="12" type="noConversion"/>
  </si>
  <si>
    <t>RMSNorm</t>
    <phoneticPr fontId="12" type="noConversion"/>
  </si>
  <si>
    <t>SoftMax</t>
    <phoneticPr fontId="12" type="noConversion"/>
  </si>
  <si>
    <t>Shift0</t>
    <phoneticPr fontId="12" type="noConversion"/>
  </si>
  <si>
    <t>Shift1</t>
    <phoneticPr fontId="12" type="noConversion"/>
  </si>
  <si>
    <t>Shift2</t>
    <phoneticPr fontId="12" type="noConversion"/>
  </si>
  <si>
    <t>[0, 7]</t>
    <phoneticPr fontId="12" type="noConversion"/>
  </si>
  <si>
    <t>[-4, 4]</t>
    <phoneticPr fontId="12" type="noConversion"/>
  </si>
  <si>
    <t>\</t>
    <phoneticPr fontId="12" type="noConversion"/>
  </si>
  <si>
    <t>[0, 12]</t>
    <phoneticPr fontId="12" type="noConversion"/>
  </si>
  <si>
    <t>Shift1+Shift2</t>
    <phoneticPr fontId="12" type="noConversion"/>
  </si>
  <si>
    <t>Support Range</t>
    <phoneticPr fontId="12" type="noConversion"/>
  </si>
  <si>
    <t>*: Extreme cases will depend on input values</t>
    <phoneticPr fontId="12" type="noConversion"/>
  </si>
  <si>
    <t>[0, 12/21*]</t>
    <phoneticPr fontId="12" type="noConversion"/>
  </si>
  <si>
    <t>[0, 15]</t>
    <phoneticPr fontId="12" type="noConversion"/>
  </si>
  <si>
    <t>[0, 11/12*]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</si>
</sst>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8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5" tint="-0.249977111117893"/>
      <name val="等线"/>
      <charset val="134"/>
      <scheme val="minor"/>
    </font>
    <font>
      <b/>
      <sz val="11"/>
      <color theme="5" tint="-0.249977111117893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4"/>
      <name val="等线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9" fillId="0" borderId="0" xfId="0" applyFont="1"/>
    <xf numFmtId="0" fontId="5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14" fillId="2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4" fillId="2" borderId="9" xfId="0" applyFont="1" applyFill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404874</xdr:colOff>
      <xdr:row>1</xdr:row>
      <xdr:rowOff>57150</xdr:rowOff>
    </xdr:from>
    <xdr:to>
      <xdr:col>17</xdr:col>
      <xdr:colOff>312597</xdr:colOff>
      <xdr:row>33</xdr:row>
      <xdr:rowOff>37050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71082-B17B-48F3-B3E1-38B8F0DD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474" y="241300"/>
          <a:ext cx="9661323" cy="58727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35</xdr:row>
      <xdr:rowOff>102328</xdr:rowOff>
    </xdr:from>
    <xdr:to>
      <xdr:col>17</xdr:col>
      <xdr:colOff>388733</xdr:colOff>
      <xdr:row>68</xdr:row>
      <xdr:rowOff>69849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BD8FB-AB9D-42DC-A60B-FFBE22075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6547578"/>
          <a:ext cx="9761333" cy="6044471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393701</xdr:colOff>
      <xdr:row>69</xdr:row>
      <xdr:rowOff>109361</xdr:rowOff>
    </xdr:from>
    <xdr:to>
      <xdr:col>17</xdr:col>
      <xdr:colOff>349251</xdr:colOff>
      <xdr:row>100</xdr:row>
      <xdr:rowOff>82825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5C259F-12B6-4180-A296-5EE985D3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1" y="12815711"/>
          <a:ext cx="9709150" cy="56821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workbookViewId="0">
      <selection activeCell="E24" sqref="E24"/>
    </sheetView>
  </sheetViews>
  <sheetFormatPr defaultRowHeight="14.25" x14ac:dyDescent="0.2"/>
  <cols>
    <col min="2" max="2" width="23.625" customWidth="1"/>
    <col min="3" max="3" width="17.125" customWidth="1"/>
    <col min="4" max="4" width="20.125" customWidth="1"/>
    <col min="5" max="5" width="58.875" customWidth="1"/>
    <col min="6" max="6" width="26.125" customWidth="1"/>
  </cols>
  <sheetData>
    <row r="2" spans="2:6" ht="15" thickBot="1" x14ac:dyDescent="0.25"/>
    <row r="3" spans="2:6" ht="16.5" thickBot="1" x14ac:dyDescent="0.25">
      <c r="B3" s="1" t="s">
        <v>0</v>
      </c>
      <c r="C3" s="2" t="s">
        <v>1</v>
      </c>
      <c r="D3" s="2" t="s">
        <v>2</v>
      </c>
      <c r="E3" s="8" t="s">
        <v>3</v>
      </c>
      <c r="F3" s="10" t="s">
        <v>13</v>
      </c>
    </row>
    <row r="4" spans="2:6" ht="16.5" thickBot="1" x14ac:dyDescent="0.25">
      <c r="B4" s="63" t="s">
        <v>6</v>
      </c>
      <c r="C4" s="64"/>
      <c r="D4" s="64"/>
      <c r="E4" s="64"/>
      <c r="F4" s="10"/>
    </row>
    <row r="5" spans="2:6" ht="16.5" thickBot="1" x14ac:dyDescent="0.25">
      <c r="B5" s="3" t="s">
        <v>7</v>
      </c>
      <c r="C5" s="5" t="s">
        <v>9</v>
      </c>
      <c r="D5" s="5">
        <v>1</v>
      </c>
      <c r="E5" s="7" t="s">
        <v>8</v>
      </c>
      <c r="F5" s="10"/>
    </row>
    <row r="6" spans="2:6" ht="16.5" thickBot="1" x14ac:dyDescent="0.25">
      <c r="B6" s="3" t="s">
        <v>4</v>
      </c>
      <c r="C6" s="5" t="s">
        <v>9</v>
      </c>
      <c r="D6" s="5">
        <v>1</v>
      </c>
      <c r="E6" s="7" t="s">
        <v>5</v>
      </c>
      <c r="F6" s="10"/>
    </row>
    <row r="7" spans="2:6" ht="16.5" thickBot="1" x14ac:dyDescent="0.25">
      <c r="B7" s="63" t="s">
        <v>12</v>
      </c>
      <c r="C7" s="64"/>
      <c r="D7" s="64"/>
      <c r="E7" s="64"/>
      <c r="F7" s="10"/>
    </row>
    <row r="8" spans="2:6" ht="16.5" thickBot="1" x14ac:dyDescent="0.25">
      <c r="B8" s="4" t="s">
        <v>55</v>
      </c>
      <c r="C8" s="6" t="s">
        <v>9</v>
      </c>
      <c r="D8" s="6">
        <v>1</v>
      </c>
      <c r="E8" s="9" t="s">
        <v>58</v>
      </c>
      <c r="F8" s="10"/>
    </row>
    <row r="9" spans="2:6" ht="16.5" thickBot="1" x14ac:dyDescent="0.25">
      <c r="B9" s="4" t="s">
        <v>56</v>
      </c>
      <c r="C9" s="6" t="s">
        <v>11</v>
      </c>
      <c r="D9" s="6">
        <v>1</v>
      </c>
      <c r="E9" s="9" t="s">
        <v>59</v>
      </c>
      <c r="F9" s="10"/>
    </row>
    <row r="10" spans="2:6" ht="16.5" thickBot="1" x14ac:dyDescent="0.25">
      <c r="B10" s="4" t="s">
        <v>57</v>
      </c>
      <c r="C10" s="6" t="s">
        <v>9</v>
      </c>
      <c r="D10" s="57">
        <v>256</v>
      </c>
      <c r="E10" s="9" t="s">
        <v>60</v>
      </c>
      <c r="F10" s="10"/>
    </row>
    <row r="11" spans="2:6" ht="15" thickBot="1" x14ac:dyDescent="0.25">
      <c r="B11" s="63" t="s">
        <v>10</v>
      </c>
      <c r="C11" s="64"/>
      <c r="D11" s="64"/>
      <c r="E11" s="64"/>
      <c r="F11" s="11"/>
    </row>
    <row r="12" spans="2:6" ht="15.75" thickBot="1" x14ac:dyDescent="0.25">
      <c r="B12" s="4" t="s">
        <v>31</v>
      </c>
      <c r="C12" s="6" t="s">
        <v>11</v>
      </c>
      <c r="D12" s="6">
        <v>1</v>
      </c>
      <c r="E12" s="9" t="s">
        <v>61</v>
      </c>
      <c r="F12" s="11"/>
    </row>
    <row r="13" spans="2:6" ht="15.75" thickBot="1" x14ac:dyDescent="0.25">
      <c r="B13" s="3" t="s">
        <v>32</v>
      </c>
      <c r="C13" s="5" t="s">
        <v>11</v>
      </c>
      <c r="D13" s="5">
        <v>13</v>
      </c>
      <c r="E13" s="7" t="s">
        <v>62</v>
      </c>
      <c r="F13" s="11" t="s">
        <v>19</v>
      </c>
    </row>
    <row r="14" spans="2:6" ht="15.75" thickBot="1" x14ac:dyDescent="0.25">
      <c r="B14" s="3" t="s">
        <v>33</v>
      </c>
      <c r="C14" s="5" t="s">
        <v>9</v>
      </c>
      <c r="D14" s="5">
        <v>1024</v>
      </c>
      <c r="E14" s="7" t="s">
        <v>63</v>
      </c>
      <c r="F14" s="11" t="s">
        <v>37</v>
      </c>
    </row>
    <row r="15" spans="2:6" ht="15.75" thickBot="1" x14ac:dyDescent="0.25">
      <c r="B15" s="3" t="s">
        <v>34</v>
      </c>
      <c r="C15" s="5" t="s">
        <v>11</v>
      </c>
      <c r="D15" s="5">
        <v>1</v>
      </c>
      <c r="E15" s="7" t="s">
        <v>64</v>
      </c>
      <c r="F15" s="11"/>
    </row>
    <row r="16" spans="2:6" ht="15.75" thickBot="1" x14ac:dyDescent="0.25">
      <c r="B16" s="3" t="s">
        <v>35</v>
      </c>
      <c r="C16" s="5" t="s">
        <v>11</v>
      </c>
      <c r="D16" s="5">
        <v>13</v>
      </c>
      <c r="E16" s="7" t="s">
        <v>65</v>
      </c>
      <c r="F16" s="11" t="s">
        <v>19</v>
      </c>
    </row>
    <row r="17" spans="2:6" ht="15.75" thickBot="1" x14ac:dyDescent="0.25">
      <c r="B17" s="3" t="s">
        <v>36</v>
      </c>
      <c r="C17" s="5" t="s">
        <v>11</v>
      </c>
      <c r="D17" s="5">
        <v>1024</v>
      </c>
      <c r="E17" s="7" t="s">
        <v>66</v>
      </c>
      <c r="F17" s="11"/>
    </row>
  </sheetData>
  <mergeCells count="3">
    <mergeCell ref="B4:E4"/>
    <mergeCell ref="B11:E11"/>
    <mergeCell ref="B7:E7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7D5D-6ED7-4F32-80A3-89033CCBA3EF}">
  <dimension ref="B3:H31"/>
  <sheetViews>
    <sheetView zoomScale="115" zoomScaleNormal="115" workbookViewId="0">
      <selection activeCell="D15" sqref="D15"/>
    </sheetView>
  </sheetViews>
  <sheetFormatPr defaultRowHeight="14.25" x14ac:dyDescent="0.2"/>
  <cols>
    <col min="2" max="2" width="25.875" customWidth="1"/>
    <col min="3" max="3" width="14.375" customWidth="1"/>
    <col min="4" max="4" width="33.375" customWidth="1"/>
    <col min="7" max="7" width="69.25" bestFit="1" customWidth="1"/>
    <col min="8" max="8" width="11.375" bestFit="1" customWidth="1"/>
  </cols>
  <sheetData>
    <row r="3" spans="2:8" x14ac:dyDescent="0.2">
      <c r="B3" s="12" t="s">
        <v>20</v>
      </c>
      <c r="C3" s="13" t="s">
        <v>21</v>
      </c>
      <c r="D3" s="13" t="s">
        <v>22</v>
      </c>
      <c r="E3" s="14" t="s">
        <v>14</v>
      </c>
      <c r="F3" s="14" t="s">
        <v>15</v>
      </c>
      <c r="G3" s="15" t="s">
        <v>23</v>
      </c>
      <c r="H3" s="11" t="s">
        <v>87</v>
      </c>
    </row>
    <row r="4" spans="2:8" ht="57" x14ac:dyDescent="0.2">
      <c r="B4" s="12" t="s">
        <v>16</v>
      </c>
      <c r="C4" s="16">
        <v>4</v>
      </c>
      <c r="D4" s="17" t="s">
        <v>24</v>
      </c>
      <c r="E4" s="18">
        <v>3</v>
      </c>
      <c r="F4" s="18">
        <v>0</v>
      </c>
      <c r="G4" s="17" t="s">
        <v>38</v>
      </c>
      <c r="H4" s="11"/>
    </row>
    <row r="5" spans="2:8" x14ac:dyDescent="0.2">
      <c r="B5" s="19"/>
      <c r="C5" s="20"/>
      <c r="D5" s="21"/>
      <c r="E5" s="22"/>
      <c r="F5" s="22"/>
      <c r="G5" s="21"/>
    </row>
    <row r="6" spans="2:8" x14ac:dyDescent="0.2">
      <c r="B6" s="19"/>
      <c r="C6" s="23"/>
      <c r="D6" s="24"/>
      <c r="E6" s="25"/>
      <c r="F6" s="25"/>
      <c r="G6" s="24"/>
    </row>
    <row r="7" spans="2:8" x14ac:dyDescent="0.2">
      <c r="B7" s="26" t="s">
        <v>25</v>
      </c>
      <c r="C7" s="27"/>
      <c r="D7" s="27"/>
      <c r="E7" s="28"/>
      <c r="F7" s="28"/>
      <c r="G7" s="29"/>
    </row>
    <row r="8" spans="2:8" ht="28.5" x14ac:dyDescent="0.2">
      <c r="B8" s="12" t="s">
        <v>39</v>
      </c>
      <c r="C8" s="30">
        <v>1</v>
      </c>
      <c r="D8" s="40" t="s">
        <v>40</v>
      </c>
      <c r="E8" s="31">
        <f>F8+C8-1</f>
        <v>4</v>
      </c>
      <c r="F8" s="31">
        <f>E4+1</f>
        <v>4</v>
      </c>
      <c r="G8" s="32" t="s">
        <v>41</v>
      </c>
      <c r="H8" s="11"/>
    </row>
    <row r="9" spans="2:8" x14ac:dyDescent="0.2">
      <c r="B9" s="39" t="s">
        <v>26</v>
      </c>
      <c r="C9" s="41">
        <v>1</v>
      </c>
      <c r="D9" s="33" t="s">
        <v>27</v>
      </c>
      <c r="E9" s="31">
        <f t="shared" ref="E9:E19" si="0">F9+C9-1</f>
        <v>5</v>
      </c>
      <c r="F9" s="31">
        <f t="shared" ref="F9:F19" si="1">E8+1</f>
        <v>5</v>
      </c>
      <c r="G9" s="33" t="s">
        <v>42</v>
      </c>
      <c r="H9" s="11"/>
    </row>
    <row r="10" spans="2:8" ht="28.5" x14ac:dyDescent="0.2">
      <c r="B10" s="55" t="s">
        <v>79</v>
      </c>
      <c r="C10" s="51">
        <v>1</v>
      </c>
      <c r="D10" s="50" t="s">
        <v>82</v>
      </c>
      <c r="E10" s="46">
        <f t="shared" si="0"/>
        <v>6</v>
      </c>
      <c r="F10" s="46">
        <f t="shared" si="1"/>
        <v>6</v>
      </c>
      <c r="G10" s="45" t="s">
        <v>81</v>
      </c>
      <c r="H10" s="11"/>
    </row>
    <row r="11" spans="2:8" ht="28.5" x14ac:dyDescent="0.2">
      <c r="B11" s="55" t="s">
        <v>80</v>
      </c>
      <c r="C11" s="51">
        <v>1</v>
      </c>
      <c r="D11" s="59" t="s">
        <v>90</v>
      </c>
      <c r="E11" s="46">
        <f t="shared" si="0"/>
        <v>7</v>
      </c>
      <c r="F11" s="46">
        <f t="shared" si="1"/>
        <v>7</v>
      </c>
      <c r="G11" s="45" t="s">
        <v>85</v>
      </c>
      <c r="H11" s="11"/>
    </row>
    <row r="12" spans="2:8" x14ac:dyDescent="0.2">
      <c r="B12" s="12" t="s">
        <v>43</v>
      </c>
      <c r="C12" s="30">
        <v>16</v>
      </c>
      <c r="D12" s="30" t="s">
        <v>28</v>
      </c>
      <c r="E12" s="31">
        <f t="shared" si="0"/>
        <v>23</v>
      </c>
      <c r="F12" s="31">
        <f>E11+1</f>
        <v>8</v>
      </c>
      <c r="G12" s="32" t="s">
        <v>44</v>
      </c>
      <c r="H12" s="11"/>
    </row>
    <row r="13" spans="2:8" x14ac:dyDescent="0.2">
      <c r="B13" s="47" t="s">
        <v>91</v>
      </c>
      <c r="C13" s="60">
        <v>11</v>
      </c>
      <c r="D13" s="60" t="s">
        <v>28</v>
      </c>
      <c r="E13" s="61">
        <f t="shared" si="0"/>
        <v>34</v>
      </c>
      <c r="F13" s="61">
        <f t="shared" ref="F13:F14" si="2">E12+1</f>
        <v>24</v>
      </c>
      <c r="G13" s="48" t="s">
        <v>175</v>
      </c>
      <c r="H13" s="11"/>
    </row>
    <row r="14" spans="2:8" x14ac:dyDescent="0.2">
      <c r="B14" s="47" t="s">
        <v>92</v>
      </c>
      <c r="C14" s="60">
        <v>12</v>
      </c>
      <c r="D14" s="60" t="s">
        <v>28</v>
      </c>
      <c r="E14" s="61">
        <f t="shared" si="0"/>
        <v>46</v>
      </c>
      <c r="F14" s="61">
        <f t="shared" si="2"/>
        <v>35</v>
      </c>
      <c r="G14" s="59" t="s">
        <v>176</v>
      </c>
      <c r="H14" s="11"/>
    </row>
    <row r="15" spans="2:8" ht="28.5" x14ac:dyDescent="0.2">
      <c r="B15" s="12" t="s">
        <v>45</v>
      </c>
      <c r="C15" s="49">
        <v>4</v>
      </c>
      <c r="D15" s="50" t="s">
        <v>76</v>
      </c>
      <c r="E15" s="54">
        <f t="shared" si="0"/>
        <v>50</v>
      </c>
      <c r="F15" s="54">
        <f t="shared" si="1"/>
        <v>47</v>
      </c>
      <c r="G15" s="32" t="s">
        <v>70</v>
      </c>
      <c r="H15" s="56" t="s">
        <v>88</v>
      </c>
    </row>
    <row r="16" spans="2:8" x14ac:dyDescent="0.2">
      <c r="B16" s="12" t="s">
        <v>46</v>
      </c>
      <c r="C16" s="49">
        <v>4</v>
      </c>
      <c r="D16" s="50" t="s">
        <v>84</v>
      </c>
      <c r="E16" s="46">
        <f t="shared" si="0"/>
        <v>54</v>
      </c>
      <c r="F16" s="46">
        <f t="shared" si="1"/>
        <v>51</v>
      </c>
      <c r="G16" s="32" t="s">
        <v>68</v>
      </c>
      <c r="H16" s="56" t="s">
        <v>88</v>
      </c>
    </row>
    <row r="17" spans="2:8" x14ac:dyDescent="0.2">
      <c r="B17" s="42" t="s">
        <v>67</v>
      </c>
      <c r="C17" s="51">
        <v>5</v>
      </c>
      <c r="D17" s="58" t="s">
        <v>89</v>
      </c>
      <c r="E17" s="46">
        <f t="shared" si="0"/>
        <v>59</v>
      </c>
      <c r="F17" s="46">
        <f t="shared" si="1"/>
        <v>55</v>
      </c>
      <c r="G17" s="43" t="s">
        <v>69</v>
      </c>
      <c r="H17" s="56" t="s">
        <v>88</v>
      </c>
    </row>
    <row r="18" spans="2:8" x14ac:dyDescent="0.2">
      <c r="B18" s="47" t="s">
        <v>71</v>
      </c>
      <c r="C18" s="44">
        <v>7</v>
      </c>
      <c r="D18" s="45" t="s">
        <v>73</v>
      </c>
      <c r="E18" s="46">
        <f t="shared" si="0"/>
        <v>66</v>
      </c>
      <c r="F18" s="46">
        <f t="shared" si="1"/>
        <v>60</v>
      </c>
      <c r="G18" s="48" t="s">
        <v>75</v>
      </c>
      <c r="H18" s="56" t="s">
        <v>88</v>
      </c>
    </row>
    <row r="19" spans="2:8" x14ac:dyDescent="0.2">
      <c r="B19" s="47" t="s">
        <v>72</v>
      </c>
      <c r="C19" s="44">
        <v>5</v>
      </c>
      <c r="D19" s="45" t="s">
        <v>74</v>
      </c>
      <c r="E19" s="46">
        <f t="shared" si="0"/>
        <v>71</v>
      </c>
      <c r="F19" s="46">
        <f t="shared" si="1"/>
        <v>67</v>
      </c>
      <c r="G19" s="48" t="s">
        <v>86</v>
      </c>
      <c r="H19" s="56" t="s">
        <v>88</v>
      </c>
    </row>
    <row r="20" spans="2:8" x14ac:dyDescent="0.2">
      <c r="B20" s="19"/>
      <c r="C20" s="27"/>
      <c r="D20" s="27"/>
      <c r="E20" s="28"/>
      <c r="F20" s="28"/>
      <c r="G20" s="29"/>
    </row>
    <row r="21" spans="2:8" x14ac:dyDescent="0.2">
      <c r="B21" s="26" t="s">
        <v>29</v>
      </c>
      <c r="C21" s="27"/>
      <c r="D21" s="27"/>
      <c r="E21" s="28"/>
      <c r="F21" s="28"/>
      <c r="G21" s="29"/>
    </row>
    <row r="22" spans="2:8" x14ac:dyDescent="0.2">
      <c r="B22" s="12" t="s">
        <v>20</v>
      </c>
      <c r="C22" s="13" t="s">
        <v>21</v>
      </c>
      <c r="D22" s="13" t="s">
        <v>22</v>
      </c>
      <c r="E22" s="12"/>
      <c r="F22" s="12"/>
      <c r="G22" s="15" t="s">
        <v>23</v>
      </c>
    </row>
    <row r="23" spans="2:8" x14ac:dyDescent="0.2">
      <c r="B23" s="14" t="s">
        <v>47</v>
      </c>
      <c r="C23" s="30">
        <v>16</v>
      </c>
      <c r="D23" s="30" t="s">
        <v>17</v>
      </c>
      <c r="E23" s="31">
        <f>F23+C23-1</f>
        <v>87</v>
      </c>
      <c r="F23" s="31">
        <f>E19+1</f>
        <v>72</v>
      </c>
      <c r="G23" s="35" t="s">
        <v>48</v>
      </c>
    </row>
    <row r="24" spans="2:8" x14ac:dyDescent="0.2">
      <c r="B24" s="14" t="s">
        <v>49</v>
      </c>
      <c r="C24" s="30">
        <v>16</v>
      </c>
      <c r="D24" s="30" t="s">
        <v>17</v>
      </c>
      <c r="E24" s="31">
        <f t="shared" ref="E24:E29" si="3">F24+C24-1</f>
        <v>103</v>
      </c>
      <c r="F24" s="31">
        <f>E23+1</f>
        <v>88</v>
      </c>
      <c r="G24" s="35" t="s">
        <v>50</v>
      </c>
    </row>
    <row r="25" spans="2:8" x14ac:dyDescent="0.2">
      <c r="B25" s="14" t="s">
        <v>51</v>
      </c>
      <c r="C25" s="34">
        <v>12</v>
      </c>
      <c r="D25" s="30" t="s">
        <v>18</v>
      </c>
      <c r="E25" s="31">
        <f t="shared" si="3"/>
        <v>115</v>
      </c>
      <c r="F25" s="31">
        <f t="shared" ref="F25:F26" si="4">E24+1</f>
        <v>104</v>
      </c>
      <c r="G25" s="35" t="s">
        <v>52</v>
      </c>
    </row>
    <row r="26" spans="2:8" x14ac:dyDescent="0.2">
      <c r="B26" s="14" t="s">
        <v>53</v>
      </c>
      <c r="C26" s="34">
        <v>12</v>
      </c>
      <c r="D26" s="30" t="s">
        <v>18</v>
      </c>
      <c r="E26" s="31">
        <f t="shared" si="3"/>
        <v>127</v>
      </c>
      <c r="F26" s="31">
        <f t="shared" si="4"/>
        <v>116</v>
      </c>
      <c r="G26" s="35" t="s">
        <v>54</v>
      </c>
    </row>
    <row r="27" spans="2:8" x14ac:dyDescent="0.2">
      <c r="B27" s="19"/>
      <c r="C27" s="27"/>
      <c r="D27" s="27"/>
      <c r="E27" s="28"/>
      <c r="F27" s="28"/>
      <c r="G27" s="29"/>
    </row>
    <row r="28" spans="2:8" x14ac:dyDescent="0.2">
      <c r="B28" s="26" t="s">
        <v>83</v>
      </c>
      <c r="C28" s="27"/>
      <c r="D28" s="27"/>
      <c r="E28" s="28"/>
      <c r="F28" s="28"/>
      <c r="G28" s="29"/>
    </row>
    <row r="29" spans="2:8" x14ac:dyDescent="0.2">
      <c r="B29" s="52" t="s">
        <v>77</v>
      </c>
      <c r="C29" s="53">
        <v>128</v>
      </c>
      <c r="D29" s="53"/>
      <c r="E29" s="46">
        <f t="shared" si="3"/>
        <v>255</v>
      </c>
      <c r="F29" s="46">
        <f>E26+1</f>
        <v>128</v>
      </c>
      <c r="G29" s="50" t="s">
        <v>78</v>
      </c>
      <c r="H29" s="56" t="s">
        <v>88</v>
      </c>
    </row>
    <row r="30" spans="2:8" x14ac:dyDescent="0.2">
      <c r="B30" s="19"/>
      <c r="C30" s="27"/>
      <c r="D30" s="27"/>
      <c r="E30" s="28"/>
      <c r="F30" s="28"/>
      <c r="G30" s="29"/>
    </row>
    <row r="31" spans="2:8" x14ac:dyDescent="0.2">
      <c r="B31" s="36" t="s">
        <v>30</v>
      </c>
      <c r="C31" s="37">
        <f>E29+1</f>
        <v>256</v>
      </c>
      <c r="D31" s="27"/>
      <c r="E31" s="28"/>
      <c r="F31" s="28"/>
      <c r="G31" s="2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3DA9-73EE-4312-908B-C94F18CB01F4}">
  <dimension ref="A1:F7"/>
  <sheetViews>
    <sheetView tabSelected="1" zoomScale="175" zoomScaleNormal="175" workbookViewId="0">
      <selection activeCell="H4" sqref="H4"/>
    </sheetView>
  </sheetViews>
  <sheetFormatPr defaultRowHeight="14.25" x14ac:dyDescent="0.2"/>
  <cols>
    <col min="1" max="1" width="9" style="28"/>
    <col min="2" max="2" width="10.625" style="28" bestFit="1" customWidth="1"/>
    <col min="3" max="3" width="9" style="28"/>
    <col min="4" max="4" width="9.875" style="28" bestFit="1" customWidth="1"/>
    <col min="5" max="5" width="11.875" style="28" bestFit="1" customWidth="1"/>
    <col min="6" max="6" width="9.875" style="28" bestFit="1" customWidth="1"/>
    <col min="7" max="16384" width="9" style="28"/>
  </cols>
  <sheetData>
    <row r="1" spans="1:6" x14ac:dyDescent="0.2">
      <c r="A1" s="65" t="s">
        <v>192</v>
      </c>
      <c r="B1" s="65"/>
      <c r="C1" s="65"/>
      <c r="D1" s="65"/>
      <c r="E1" s="65"/>
      <c r="F1" s="65"/>
    </row>
    <row r="2" spans="1:6" x14ac:dyDescent="0.2">
      <c r="A2" s="31" t="s">
        <v>178</v>
      </c>
      <c r="B2" s="31" t="s">
        <v>177</v>
      </c>
      <c r="C2" s="31" t="s">
        <v>185</v>
      </c>
      <c r="D2" s="31" t="s">
        <v>186</v>
      </c>
      <c r="E2" s="28" t="s">
        <v>191</v>
      </c>
      <c r="F2" s="31" t="s">
        <v>184</v>
      </c>
    </row>
    <row r="3" spans="1:6" x14ac:dyDescent="0.2">
      <c r="A3" s="65" t="s">
        <v>183</v>
      </c>
      <c r="B3" s="31" t="s">
        <v>179</v>
      </c>
      <c r="C3" s="31" t="s">
        <v>187</v>
      </c>
      <c r="D3" s="31" t="s">
        <v>190</v>
      </c>
      <c r="E3" s="31" t="s">
        <v>190</v>
      </c>
      <c r="F3" s="66" t="s">
        <v>195</v>
      </c>
    </row>
    <row r="4" spans="1:6" x14ac:dyDescent="0.2">
      <c r="A4" s="65"/>
      <c r="B4" s="31" t="s">
        <v>180</v>
      </c>
      <c r="C4" s="31" t="s">
        <v>188</v>
      </c>
      <c r="D4" s="31" t="s">
        <v>194</v>
      </c>
      <c r="E4" s="31" t="s">
        <v>189</v>
      </c>
      <c r="F4" s="67"/>
    </row>
    <row r="5" spans="1:6" x14ac:dyDescent="0.2">
      <c r="A5" s="65" t="s">
        <v>113</v>
      </c>
      <c r="B5" s="31" t="s">
        <v>181</v>
      </c>
      <c r="C5" s="68" t="s">
        <v>189</v>
      </c>
      <c r="D5" s="69"/>
      <c r="E5" s="70"/>
      <c r="F5" s="66" t="s">
        <v>196</v>
      </c>
    </row>
    <row r="6" spans="1:6" x14ac:dyDescent="0.2">
      <c r="A6" s="65"/>
      <c r="B6" s="31" t="s">
        <v>182</v>
      </c>
      <c r="C6" s="71"/>
      <c r="D6" s="72"/>
      <c r="E6" s="73"/>
      <c r="F6" s="67"/>
    </row>
    <row r="7" spans="1:6" x14ac:dyDescent="0.2">
      <c r="A7" s="69" t="s">
        <v>193</v>
      </c>
      <c r="B7" s="69"/>
      <c r="C7" s="69"/>
      <c r="D7" s="69"/>
      <c r="E7" s="69"/>
      <c r="F7" s="69"/>
    </row>
  </sheetData>
  <mergeCells count="7">
    <mergeCell ref="A1:F1"/>
    <mergeCell ref="F5:F6"/>
    <mergeCell ref="C5:E6"/>
    <mergeCell ref="F3:F4"/>
    <mergeCell ref="A7:F7"/>
    <mergeCell ref="A3:A4"/>
    <mergeCell ref="A5:A6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ED10-40A0-415D-9E46-E54062CF1F78}">
  <dimension ref="D5:D45"/>
  <sheetViews>
    <sheetView topLeftCell="A52" workbookViewId="0">
      <selection activeCell="W24" sqref="W24"/>
    </sheetView>
  </sheetViews>
  <sheetFormatPr defaultRowHeight="14.25" x14ac:dyDescent="0.2"/>
  <sheetData>
    <row r="5" spans="4:4" x14ac:dyDescent="0.2">
      <c r="D5" s="38"/>
    </row>
    <row r="45" spans="4:4" x14ac:dyDescent="0.2">
      <c r="D45" s="38"/>
    </row>
  </sheetData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585E-8D3E-43F7-9364-831196BA5E96}">
  <dimension ref="A1:L30"/>
  <sheetViews>
    <sheetView zoomScale="175" zoomScaleNormal="175" workbookViewId="0">
      <selection activeCell="L13" sqref="L13"/>
    </sheetView>
  </sheetViews>
  <sheetFormatPr defaultColWidth="8.625" defaultRowHeight="14.25" x14ac:dyDescent="0.2"/>
  <cols>
    <col min="1" max="1" width="9.625" style="28" bestFit="1" customWidth="1"/>
    <col min="2" max="2" width="8.625" style="28"/>
    <col min="3" max="3" width="20.875" style="28" bestFit="1" customWidth="1"/>
    <col min="4" max="4" width="22.625" style="28" bestFit="1" customWidth="1"/>
    <col min="5" max="5" width="10.125" style="28" bestFit="1" customWidth="1"/>
    <col min="6" max="6" width="13.375" style="28" bestFit="1" customWidth="1"/>
    <col min="7" max="7" width="18" style="28" bestFit="1" customWidth="1"/>
    <col min="8" max="8" width="8.625" style="28"/>
    <col min="9" max="9" width="22.875" style="28" bestFit="1" customWidth="1"/>
    <col min="10" max="10" width="9.75" style="28" bestFit="1" customWidth="1"/>
    <col min="11" max="11" width="8.625" style="28"/>
    <col min="12" max="12" width="20.625" style="28" bestFit="1" customWidth="1"/>
    <col min="13" max="16384" width="8.625" style="28"/>
  </cols>
  <sheetData>
    <row r="1" spans="1:12" x14ac:dyDescent="0.2">
      <c r="A1" s="74" t="s">
        <v>115</v>
      </c>
      <c r="B1" s="74" t="s">
        <v>114</v>
      </c>
      <c r="D1" s="74" t="s">
        <v>106</v>
      </c>
      <c r="E1" s="74"/>
      <c r="F1" s="74"/>
      <c r="G1" s="74"/>
      <c r="H1" s="74" t="s">
        <v>107</v>
      </c>
    </row>
    <row r="2" spans="1:12" x14ac:dyDescent="0.2">
      <c r="A2" s="74"/>
      <c r="B2" s="74"/>
      <c r="D2" s="28" t="s">
        <v>93</v>
      </c>
      <c r="E2" s="28" t="s">
        <v>94</v>
      </c>
      <c r="F2" s="28" t="s">
        <v>95</v>
      </c>
      <c r="G2" s="28" t="s">
        <v>96</v>
      </c>
      <c r="H2" s="74"/>
    </row>
    <row r="3" spans="1:12" x14ac:dyDescent="0.2">
      <c r="A3" s="74" t="s">
        <v>134</v>
      </c>
      <c r="B3" s="28" t="s">
        <v>116</v>
      </c>
      <c r="C3" s="28" t="s">
        <v>137</v>
      </c>
      <c r="D3" s="28">
        <v>0</v>
      </c>
      <c r="E3" s="28">
        <v>0</v>
      </c>
      <c r="F3" s="28">
        <v>1</v>
      </c>
      <c r="G3" s="28">
        <v>0</v>
      </c>
      <c r="H3" s="28" t="s">
        <v>98</v>
      </c>
    </row>
    <row r="4" spans="1:12" x14ac:dyDescent="0.2">
      <c r="A4" s="74"/>
      <c r="B4" s="74" t="s">
        <v>117</v>
      </c>
      <c r="C4" s="28" t="s">
        <v>138</v>
      </c>
      <c r="D4" s="28">
        <v>1</v>
      </c>
      <c r="E4" s="28">
        <v>0</v>
      </c>
      <c r="F4" s="28">
        <v>0</v>
      </c>
      <c r="G4" s="28">
        <v>0</v>
      </c>
      <c r="H4" s="28" t="s">
        <v>97</v>
      </c>
    </row>
    <row r="5" spans="1:12" x14ac:dyDescent="0.2">
      <c r="A5" s="74"/>
      <c r="B5" s="74"/>
      <c r="C5" s="28" t="s">
        <v>139</v>
      </c>
      <c r="D5" s="28">
        <v>0</v>
      </c>
      <c r="E5" s="28">
        <v>0</v>
      </c>
      <c r="F5" s="28">
        <v>7</v>
      </c>
      <c r="G5" s="28">
        <v>0</v>
      </c>
      <c r="H5" s="28" t="s">
        <v>97</v>
      </c>
    </row>
    <row r="6" spans="1:12" x14ac:dyDescent="0.2">
      <c r="A6" s="74"/>
      <c r="B6" s="74"/>
      <c r="C6" s="28" t="s">
        <v>145</v>
      </c>
      <c r="D6" s="28">
        <v>1</v>
      </c>
      <c r="E6" s="28">
        <v>1</v>
      </c>
      <c r="F6" s="28">
        <v>0</v>
      </c>
      <c r="G6" s="28">
        <v>0</v>
      </c>
      <c r="H6" s="28" t="s">
        <v>97</v>
      </c>
    </row>
    <row r="7" spans="1:12" x14ac:dyDescent="0.2">
      <c r="A7" s="74"/>
      <c r="B7" s="74"/>
      <c r="C7" s="28" t="s">
        <v>140</v>
      </c>
      <c r="D7" s="28">
        <v>0</v>
      </c>
      <c r="E7" s="28">
        <v>0</v>
      </c>
      <c r="F7" s="28">
        <v>1</v>
      </c>
      <c r="G7" s="28">
        <v>1</v>
      </c>
      <c r="H7" s="28" t="s">
        <v>97</v>
      </c>
    </row>
    <row r="8" spans="1:12" x14ac:dyDescent="0.2">
      <c r="A8" s="74"/>
      <c r="B8" s="74" t="s">
        <v>118</v>
      </c>
      <c r="C8" s="28" t="s">
        <v>141</v>
      </c>
      <c r="D8" s="28">
        <v>1</v>
      </c>
      <c r="E8" s="28">
        <v>0</v>
      </c>
      <c r="F8" s="28">
        <v>0</v>
      </c>
      <c r="G8" s="28">
        <v>0</v>
      </c>
      <c r="H8" s="28" t="s">
        <v>98</v>
      </c>
    </row>
    <row r="9" spans="1:12" x14ac:dyDescent="0.2">
      <c r="A9" s="74"/>
      <c r="B9" s="74"/>
      <c r="C9" s="28" t="s">
        <v>142</v>
      </c>
      <c r="D9" s="28">
        <v>1</v>
      </c>
      <c r="E9" s="28">
        <v>0</v>
      </c>
      <c r="F9" s="28">
        <v>1</v>
      </c>
      <c r="G9" s="28">
        <v>4</v>
      </c>
      <c r="H9" s="28">
        <v>21</v>
      </c>
    </row>
    <row r="10" spans="1:12" x14ac:dyDescent="0.2">
      <c r="A10" s="74"/>
      <c r="B10" s="74" t="s">
        <v>143</v>
      </c>
      <c r="C10" s="28" t="s">
        <v>144</v>
      </c>
      <c r="D10" s="28">
        <v>1</v>
      </c>
      <c r="E10" s="28">
        <v>0</v>
      </c>
      <c r="F10" s="28">
        <v>0</v>
      </c>
      <c r="G10" s="28">
        <v>0</v>
      </c>
      <c r="H10" s="28" t="s">
        <v>97</v>
      </c>
    </row>
    <row r="11" spans="1:12" x14ac:dyDescent="0.2">
      <c r="A11" s="74"/>
      <c r="B11" s="74"/>
      <c r="C11" s="28" t="s">
        <v>112</v>
      </c>
      <c r="D11" s="28">
        <v>0</v>
      </c>
      <c r="E11" s="28">
        <v>0</v>
      </c>
      <c r="F11" s="28">
        <v>1</v>
      </c>
      <c r="G11" s="28">
        <v>1</v>
      </c>
      <c r="H11" s="28" t="s">
        <v>97</v>
      </c>
    </row>
    <row r="14" spans="1:12" x14ac:dyDescent="0.2">
      <c r="A14" s="74" t="s">
        <v>115</v>
      </c>
      <c r="B14" s="74" t="s">
        <v>114</v>
      </c>
      <c r="C14" s="74" t="s">
        <v>122</v>
      </c>
      <c r="D14" s="74" t="s">
        <v>106</v>
      </c>
      <c r="E14" s="74"/>
      <c r="F14" s="74"/>
      <c r="G14" s="74"/>
      <c r="H14" s="74" t="s">
        <v>107</v>
      </c>
      <c r="I14" s="74" t="s">
        <v>121</v>
      </c>
      <c r="J14" s="28" t="s">
        <v>123</v>
      </c>
      <c r="K14" s="28">
        <v>240</v>
      </c>
      <c r="L14" s="28" t="s">
        <v>172</v>
      </c>
    </row>
    <row r="15" spans="1:12" x14ac:dyDescent="0.2">
      <c r="A15" s="74"/>
      <c r="B15" s="74"/>
      <c r="C15" s="74"/>
      <c r="D15" s="28" t="s">
        <v>93</v>
      </c>
      <c r="E15" s="28" t="s">
        <v>94</v>
      </c>
      <c r="F15" s="28" t="s">
        <v>95</v>
      </c>
      <c r="G15" s="28" t="s">
        <v>96</v>
      </c>
      <c r="H15" s="74"/>
      <c r="I15" s="74"/>
      <c r="J15" s="28" t="s">
        <v>124</v>
      </c>
      <c r="K15" s="28">
        <v>16384</v>
      </c>
    </row>
    <row r="16" spans="1:12" x14ac:dyDescent="0.2">
      <c r="A16" s="74" t="s">
        <v>134</v>
      </c>
      <c r="B16" s="28" t="s">
        <v>116</v>
      </c>
      <c r="C16" s="28" t="s">
        <v>137</v>
      </c>
      <c r="D16" s="28">
        <v>0</v>
      </c>
      <c r="E16" s="28">
        <v>0</v>
      </c>
      <c r="F16" s="28">
        <v>1</v>
      </c>
      <c r="G16" s="28">
        <v>0</v>
      </c>
      <c r="H16" s="28">
        <f>K14-1</f>
        <v>239</v>
      </c>
      <c r="I16" s="28">
        <f>SUM(D16:G16)*H16</f>
        <v>239</v>
      </c>
    </row>
    <row r="17" spans="1:12" x14ac:dyDescent="0.2">
      <c r="A17" s="74"/>
      <c r="B17" s="74" t="s">
        <v>117</v>
      </c>
      <c r="C17" s="28" t="s">
        <v>138</v>
      </c>
      <c r="D17" s="28">
        <v>1</v>
      </c>
      <c r="E17" s="28">
        <v>0</v>
      </c>
      <c r="F17" s="28">
        <v>0</v>
      </c>
      <c r="G17" s="28">
        <v>0</v>
      </c>
      <c r="H17" s="28">
        <f>K14</f>
        <v>240</v>
      </c>
      <c r="I17" s="28">
        <f t="shared" ref="I17:I24" si="0">SUM(D17:G17)*H17</f>
        <v>240</v>
      </c>
    </row>
    <row r="18" spans="1:12" x14ac:dyDescent="0.2">
      <c r="A18" s="74"/>
      <c r="B18" s="74"/>
      <c r="C18" s="28" t="s">
        <v>139</v>
      </c>
      <c r="D18" s="28">
        <v>0</v>
      </c>
      <c r="E18" s="28">
        <v>0</v>
      </c>
      <c r="F18" s="28">
        <v>7</v>
      </c>
      <c r="G18" s="28">
        <v>0</v>
      </c>
      <c r="H18" s="28">
        <f>K14</f>
        <v>240</v>
      </c>
      <c r="I18" s="28">
        <f t="shared" si="0"/>
        <v>1680</v>
      </c>
    </row>
    <row r="19" spans="1:12" x14ac:dyDescent="0.2">
      <c r="A19" s="74"/>
      <c r="B19" s="74"/>
      <c r="C19" s="28" t="s">
        <v>145</v>
      </c>
      <c r="D19" s="28">
        <v>1</v>
      </c>
      <c r="E19" s="28">
        <v>1</v>
      </c>
      <c r="F19" s="28">
        <v>0</v>
      </c>
      <c r="G19" s="28">
        <v>0</v>
      </c>
      <c r="H19" s="28">
        <f>K14</f>
        <v>240</v>
      </c>
      <c r="I19" s="28">
        <f t="shared" si="0"/>
        <v>480</v>
      </c>
    </row>
    <row r="20" spans="1:12" x14ac:dyDescent="0.2">
      <c r="A20" s="74"/>
      <c r="B20" s="74"/>
      <c r="C20" s="28" t="s">
        <v>140</v>
      </c>
      <c r="D20" s="28">
        <v>0</v>
      </c>
      <c r="E20" s="28">
        <v>0</v>
      </c>
      <c r="F20" s="28">
        <v>1</v>
      </c>
      <c r="G20" s="28">
        <v>1</v>
      </c>
      <c r="H20" s="28">
        <f>K14</f>
        <v>240</v>
      </c>
      <c r="I20" s="28">
        <f t="shared" si="0"/>
        <v>480</v>
      </c>
    </row>
    <row r="21" spans="1:12" x14ac:dyDescent="0.2">
      <c r="A21" s="74"/>
      <c r="B21" s="74" t="s">
        <v>118</v>
      </c>
      <c r="C21" s="28" t="s">
        <v>141</v>
      </c>
      <c r="D21" s="28">
        <v>1</v>
      </c>
      <c r="E21" s="28">
        <v>0</v>
      </c>
      <c r="F21" s="28">
        <v>0</v>
      </c>
      <c r="G21" s="28">
        <v>0</v>
      </c>
      <c r="H21" s="28">
        <f>K14-1</f>
        <v>239</v>
      </c>
      <c r="I21" s="28">
        <f t="shared" si="0"/>
        <v>239</v>
      </c>
    </row>
    <row r="22" spans="1:12" x14ac:dyDescent="0.2">
      <c r="A22" s="74"/>
      <c r="B22" s="74"/>
      <c r="C22" s="28" t="s">
        <v>142</v>
      </c>
      <c r="D22" s="28">
        <v>1</v>
      </c>
      <c r="E22" s="28">
        <v>0</v>
      </c>
      <c r="F22" s="28">
        <v>1</v>
      </c>
      <c r="G22" s="28">
        <v>4</v>
      </c>
      <c r="H22" s="28">
        <v>21</v>
      </c>
      <c r="I22" s="28">
        <f t="shared" si="0"/>
        <v>126</v>
      </c>
    </row>
    <row r="23" spans="1:12" x14ac:dyDescent="0.2">
      <c r="A23" s="74"/>
      <c r="B23" s="74" t="s">
        <v>143</v>
      </c>
      <c r="C23" s="28" t="s">
        <v>144</v>
      </c>
      <c r="D23" s="28">
        <v>1</v>
      </c>
      <c r="E23" s="28">
        <v>0</v>
      </c>
      <c r="F23" s="28">
        <v>0</v>
      </c>
      <c r="G23" s="28">
        <v>0</v>
      </c>
      <c r="H23" s="28">
        <f>K14</f>
        <v>240</v>
      </c>
      <c r="I23" s="28">
        <f t="shared" si="0"/>
        <v>240</v>
      </c>
    </row>
    <row r="24" spans="1:12" x14ac:dyDescent="0.2">
      <c r="A24" s="74"/>
      <c r="B24" s="74"/>
      <c r="C24" s="28" t="s">
        <v>112</v>
      </c>
      <c r="D24" s="28">
        <v>0</v>
      </c>
      <c r="E24" s="28">
        <v>0</v>
      </c>
      <c r="F24" s="28">
        <v>1</v>
      </c>
      <c r="G24" s="28">
        <v>1</v>
      </c>
      <c r="H24" s="28">
        <f>K14</f>
        <v>240</v>
      </c>
      <c r="I24" s="28">
        <f t="shared" si="0"/>
        <v>480</v>
      </c>
    </row>
    <row r="25" spans="1:12" x14ac:dyDescent="0.2">
      <c r="A25" s="28" t="s">
        <v>119</v>
      </c>
      <c r="I25" s="28">
        <f>SUM(I16:I24)</f>
        <v>4204</v>
      </c>
    </row>
    <row r="26" spans="1:12" x14ac:dyDescent="0.2">
      <c r="A26" s="28" t="s">
        <v>120</v>
      </c>
      <c r="I26" s="28">
        <f>I25*K15</f>
        <v>68878336</v>
      </c>
    </row>
    <row r="27" spans="1:12" x14ac:dyDescent="0.2">
      <c r="A27" s="28" t="s">
        <v>13</v>
      </c>
      <c r="D27" s="28" t="s">
        <v>146</v>
      </c>
      <c r="E27" s="28" t="s">
        <v>148</v>
      </c>
      <c r="F27" s="28" t="s">
        <v>150</v>
      </c>
      <c r="G27" s="28" t="s">
        <v>152</v>
      </c>
      <c r="I27" s="62" t="s">
        <v>154</v>
      </c>
      <c r="L27" s="27"/>
    </row>
    <row r="28" spans="1:12" x14ac:dyDescent="0.2">
      <c r="D28" s="28" t="s">
        <v>147</v>
      </c>
      <c r="E28" s="28" t="s">
        <v>149</v>
      </c>
      <c r="F28" s="28" t="s">
        <v>151</v>
      </c>
      <c r="G28" s="28" t="s">
        <v>153</v>
      </c>
      <c r="I28" s="28">
        <f>17*K14+124</f>
        <v>4204</v>
      </c>
    </row>
    <row r="29" spans="1:12" x14ac:dyDescent="0.2">
      <c r="I29" s="62" t="s">
        <v>155</v>
      </c>
    </row>
    <row r="30" spans="1:12" x14ac:dyDescent="0.2">
      <c r="A30" s="28" t="s">
        <v>133</v>
      </c>
      <c r="D30" s="27"/>
      <c r="E30" s="27"/>
      <c r="F30" s="27"/>
      <c r="G30" s="27"/>
      <c r="I30" s="28">
        <f>I28*K15</f>
        <v>68878336</v>
      </c>
    </row>
  </sheetData>
  <mergeCells count="18">
    <mergeCell ref="C14:C15"/>
    <mergeCell ref="D14:G14"/>
    <mergeCell ref="H14:H15"/>
    <mergeCell ref="I14:I15"/>
    <mergeCell ref="A1:A2"/>
    <mergeCell ref="B1:B2"/>
    <mergeCell ref="D1:G1"/>
    <mergeCell ref="H1:H2"/>
    <mergeCell ref="A3:A11"/>
    <mergeCell ref="B10:B11"/>
    <mergeCell ref="B4:B7"/>
    <mergeCell ref="B8:B9"/>
    <mergeCell ref="B23:B24"/>
    <mergeCell ref="A16:A24"/>
    <mergeCell ref="B17:B20"/>
    <mergeCell ref="B21:B22"/>
    <mergeCell ref="A14:A15"/>
    <mergeCell ref="B14:B15"/>
  </mergeCells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0E6D-ECF9-42BA-86C2-F169DB1C080E}">
  <dimension ref="A1:L26"/>
  <sheetViews>
    <sheetView zoomScale="175" zoomScaleNormal="175" workbookViewId="0">
      <selection activeCell="L16" sqref="L16"/>
    </sheetView>
  </sheetViews>
  <sheetFormatPr defaultColWidth="8.625" defaultRowHeight="14.25" x14ac:dyDescent="0.2"/>
  <cols>
    <col min="1" max="1" width="9.625" style="28" bestFit="1" customWidth="1"/>
    <col min="2" max="2" width="8.625" style="28"/>
    <col min="3" max="3" width="20.875" style="28" bestFit="1" customWidth="1"/>
    <col min="4" max="4" width="22.625" style="28" bestFit="1" customWidth="1"/>
    <col min="5" max="5" width="10.125" style="28" bestFit="1" customWidth="1"/>
    <col min="6" max="6" width="13.375" style="28" bestFit="1" customWidth="1"/>
    <col min="7" max="7" width="18" style="28" bestFit="1" customWidth="1"/>
    <col min="8" max="8" width="8.625" style="28"/>
    <col min="9" max="9" width="22.875" style="28" bestFit="1" customWidth="1"/>
    <col min="10" max="10" width="9.75" style="28" bestFit="1" customWidth="1"/>
    <col min="11" max="11" width="8.625" style="28"/>
    <col min="12" max="12" width="20.625" style="28" bestFit="1" customWidth="1"/>
    <col min="13" max="16384" width="8.625" style="28"/>
  </cols>
  <sheetData>
    <row r="1" spans="1:12" x14ac:dyDescent="0.2">
      <c r="A1" s="74" t="s">
        <v>115</v>
      </c>
      <c r="B1" s="74" t="s">
        <v>114</v>
      </c>
      <c r="D1" s="74" t="s">
        <v>106</v>
      </c>
      <c r="E1" s="74"/>
      <c r="F1" s="74"/>
      <c r="G1" s="74"/>
      <c r="H1" s="74" t="s">
        <v>107</v>
      </c>
    </row>
    <row r="2" spans="1:12" x14ac:dyDescent="0.2">
      <c r="A2" s="74"/>
      <c r="B2" s="74"/>
      <c r="D2" s="28" t="s">
        <v>93</v>
      </c>
      <c r="E2" s="28" t="s">
        <v>94</v>
      </c>
      <c r="F2" s="28" t="s">
        <v>95</v>
      </c>
      <c r="G2" s="28" t="s">
        <v>96</v>
      </c>
      <c r="H2" s="74"/>
    </row>
    <row r="3" spans="1:12" x14ac:dyDescent="0.2">
      <c r="A3" s="74" t="s">
        <v>134</v>
      </c>
      <c r="B3" s="74" t="s">
        <v>117</v>
      </c>
      <c r="C3" s="28" t="s">
        <v>156</v>
      </c>
      <c r="D3" s="28">
        <v>1</v>
      </c>
      <c r="E3" s="28">
        <v>0</v>
      </c>
      <c r="F3" s="28">
        <v>0</v>
      </c>
      <c r="G3" s="28">
        <v>0</v>
      </c>
      <c r="H3" s="28" t="s">
        <v>97</v>
      </c>
    </row>
    <row r="4" spans="1:12" x14ac:dyDescent="0.2">
      <c r="A4" s="74"/>
      <c r="B4" s="74"/>
      <c r="C4" s="28" t="s">
        <v>157</v>
      </c>
      <c r="D4" s="28">
        <v>0</v>
      </c>
      <c r="E4" s="28">
        <v>0</v>
      </c>
      <c r="F4" s="28">
        <v>0</v>
      </c>
      <c r="G4" s="28">
        <v>0</v>
      </c>
      <c r="H4" s="28" t="s">
        <v>97</v>
      </c>
    </row>
    <row r="5" spans="1:12" x14ac:dyDescent="0.2">
      <c r="A5" s="74"/>
      <c r="B5" s="74"/>
      <c r="C5" s="28" t="s">
        <v>140</v>
      </c>
      <c r="D5" s="28">
        <v>0</v>
      </c>
      <c r="E5" s="28">
        <v>0</v>
      </c>
      <c r="F5" s="28">
        <v>1</v>
      </c>
      <c r="G5" s="28">
        <v>1</v>
      </c>
      <c r="H5" s="28" t="s">
        <v>97</v>
      </c>
    </row>
    <row r="6" spans="1:12" x14ac:dyDescent="0.2">
      <c r="A6" s="74"/>
      <c r="B6" s="74" t="s">
        <v>118</v>
      </c>
      <c r="C6" s="28" t="s">
        <v>141</v>
      </c>
      <c r="D6" s="28">
        <v>1</v>
      </c>
      <c r="E6" s="28">
        <v>0</v>
      </c>
      <c r="F6" s="28">
        <v>0</v>
      </c>
      <c r="G6" s="28">
        <v>0</v>
      </c>
      <c r="H6" s="28" t="s">
        <v>98</v>
      </c>
    </row>
    <row r="7" spans="1:12" x14ac:dyDescent="0.2">
      <c r="A7" s="74"/>
      <c r="B7" s="74"/>
      <c r="C7" s="28" t="s">
        <v>142</v>
      </c>
      <c r="D7" s="28">
        <v>1</v>
      </c>
      <c r="E7" s="28">
        <v>0</v>
      </c>
      <c r="F7" s="28">
        <v>1</v>
      </c>
      <c r="G7" s="28">
        <v>4</v>
      </c>
      <c r="H7" s="28">
        <v>21</v>
      </c>
    </row>
    <row r="8" spans="1:12" x14ac:dyDescent="0.2">
      <c r="A8" s="74"/>
      <c r="B8" s="74" t="s">
        <v>143</v>
      </c>
      <c r="C8" s="28" t="s">
        <v>144</v>
      </c>
      <c r="D8" s="28">
        <v>1</v>
      </c>
      <c r="E8" s="28">
        <v>0</v>
      </c>
      <c r="F8" s="28">
        <v>0</v>
      </c>
      <c r="G8" s="28">
        <v>0</v>
      </c>
      <c r="H8" s="28" t="s">
        <v>97</v>
      </c>
    </row>
    <row r="9" spans="1:12" x14ac:dyDescent="0.2">
      <c r="A9" s="74"/>
      <c r="B9" s="74"/>
      <c r="C9" s="28" t="s">
        <v>112</v>
      </c>
      <c r="D9" s="28">
        <v>0</v>
      </c>
      <c r="E9" s="28">
        <v>0</v>
      </c>
      <c r="F9" s="28">
        <v>1</v>
      </c>
      <c r="G9" s="28">
        <v>1</v>
      </c>
      <c r="H9" s="28" t="s">
        <v>97</v>
      </c>
    </row>
    <row r="12" spans="1:12" x14ac:dyDescent="0.2">
      <c r="A12" s="74" t="s">
        <v>115</v>
      </c>
      <c r="B12" s="74" t="s">
        <v>114</v>
      </c>
      <c r="C12" s="74" t="s">
        <v>122</v>
      </c>
      <c r="D12" s="74" t="s">
        <v>106</v>
      </c>
      <c r="E12" s="74"/>
      <c r="F12" s="74"/>
      <c r="G12" s="74"/>
      <c r="H12" s="74" t="s">
        <v>107</v>
      </c>
      <c r="I12" s="74" t="s">
        <v>121</v>
      </c>
      <c r="J12" s="28" t="s">
        <v>123</v>
      </c>
      <c r="K12" s="28">
        <v>240</v>
      </c>
      <c r="L12" s="28" t="s">
        <v>172</v>
      </c>
    </row>
    <row r="13" spans="1:12" x14ac:dyDescent="0.2">
      <c r="A13" s="74"/>
      <c r="B13" s="74"/>
      <c r="C13" s="74"/>
      <c r="D13" s="28" t="s">
        <v>93</v>
      </c>
      <c r="E13" s="28" t="s">
        <v>94</v>
      </c>
      <c r="F13" s="28" t="s">
        <v>95</v>
      </c>
      <c r="G13" s="28" t="s">
        <v>96</v>
      </c>
      <c r="H13" s="74"/>
      <c r="I13" s="74"/>
      <c r="J13" s="28" t="s">
        <v>124</v>
      </c>
      <c r="K13" s="28">
        <v>16384</v>
      </c>
    </row>
    <row r="14" spans="1:12" x14ac:dyDescent="0.2">
      <c r="A14" s="74" t="s">
        <v>134</v>
      </c>
      <c r="B14" s="74" t="s">
        <v>117</v>
      </c>
      <c r="C14" s="28" t="s">
        <v>156</v>
      </c>
      <c r="D14" s="28">
        <v>1</v>
      </c>
      <c r="E14" s="28">
        <v>0</v>
      </c>
      <c r="F14" s="28">
        <v>0</v>
      </c>
      <c r="G14" s="28">
        <v>0</v>
      </c>
      <c r="H14" s="28">
        <f>K12</f>
        <v>240</v>
      </c>
      <c r="I14" s="28">
        <f t="shared" ref="I14:I20" si="0">SUM(D14:G14)*H14</f>
        <v>240</v>
      </c>
    </row>
    <row r="15" spans="1:12" x14ac:dyDescent="0.2">
      <c r="A15" s="74"/>
      <c r="B15" s="74"/>
      <c r="C15" s="28" t="s">
        <v>157</v>
      </c>
      <c r="D15" s="28">
        <v>0</v>
      </c>
      <c r="E15" s="28">
        <v>0</v>
      </c>
      <c r="F15" s="28">
        <v>0</v>
      </c>
      <c r="G15" s="28">
        <v>0</v>
      </c>
      <c r="H15" s="28">
        <f>K12</f>
        <v>240</v>
      </c>
      <c r="I15" s="28">
        <f t="shared" si="0"/>
        <v>0</v>
      </c>
    </row>
    <row r="16" spans="1:12" x14ac:dyDescent="0.2">
      <c r="A16" s="74"/>
      <c r="B16" s="74"/>
      <c r="C16" s="28" t="s">
        <v>140</v>
      </c>
      <c r="D16" s="28">
        <v>0</v>
      </c>
      <c r="E16" s="28">
        <v>0</v>
      </c>
      <c r="F16" s="28">
        <v>1</v>
      </c>
      <c r="G16" s="28">
        <v>1</v>
      </c>
      <c r="H16" s="28">
        <f>K12</f>
        <v>240</v>
      </c>
      <c r="I16" s="28">
        <f t="shared" si="0"/>
        <v>480</v>
      </c>
    </row>
    <row r="17" spans="1:12" x14ac:dyDescent="0.2">
      <c r="A17" s="74"/>
      <c r="B17" s="74" t="s">
        <v>118</v>
      </c>
      <c r="C17" s="28" t="s">
        <v>141</v>
      </c>
      <c r="D17" s="28">
        <v>1</v>
      </c>
      <c r="E17" s="28">
        <v>0</v>
      </c>
      <c r="F17" s="28">
        <v>0</v>
      </c>
      <c r="G17" s="28">
        <v>0</v>
      </c>
      <c r="H17" s="28">
        <f>K12-1</f>
        <v>239</v>
      </c>
      <c r="I17" s="28">
        <f t="shared" si="0"/>
        <v>239</v>
      </c>
    </row>
    <row r="18" spans="1:12" x14ac:dyDescent="0.2">
      <c r="A18" s="74"/>
      <c r="B18" s="74"/>
      <c r="C18" s="28" t="s">
        <v>142</v>
      </c>
      <c r="D18" s="28">
        <v>1</v>
      </c>
      <c r="E18" s="28">
        <v>0</v>
      </c>
      <c r="F18" s="28">
        <v>1</v>
      </c>
      <c r="G18" s="28">
        <v>4</v>
      </c>
      <c r="H18" s="28">
        <v>21</v>
      </c>
      <c r="I18" s="28">
        <f t="shared" si="0"/>
        <v>126</v>
      </c>
    </row>
    <row r="19" spans="1:12" x14ac:dyDescent="0.2">
      <c r="A19" s="74"/>
      <c r="B19" s="74" t="s">
        <v>143</v>
      </c>
      <c r="C19" s="28" t="s">
        <v>144</v>
      </c>
      <c r="D19" s="28">
        <v>1</v>
      </c>
      <c r="E19" s="28">
        <v>0</v>
      </c>
      <c r="F19" s="28">
        <v>0</v>
      </c>
      <c r="G19" s="28">
        <v>0</v>
      </c>
      <c r="H19" s="28">
        <f>K12</f>
        <v>240</v>
      </c>
      <c r="I19" s="28">
        <f t="shared" si="0"/>
        <v>240</v>
      </c>
    </row>
    <row r="20" spans="1:12" x14ac:dyDescent="0.2">
      <c r="A20" s="74"/>
      <c r="B20" s="74"/>
      <c r="C20" s="28" t="s">
        <v>112</v>
      </c>
      <c r="D20" s="28">
        <v>0</v>
      </c>
      <c r="E20" s="28">
        <v>0</v>
      </c>
      <c r="F20" s="28">
        <v>1</v>
      </c>
      <c r="G20" s="28">
        <v>1</v>
      </c>
      <c r="H20" s="28">
        <f>K12</f>
        <v>240</v>
      </c>
      <c r="I20" s="28">
        <f t="shared" si="0"/>
        <v>480</v>
      </c>
    </row>
    <row r="21" spans="1:12" x14ac:dyDescent="0.2">
      <c r="A21" s="28" t="s">
        <v>119</v>
      </c>
      <c r="I21" s="28">
        <f>SUM(I14:I20)</f>
        <v>1805</v>
      </c>
    </row>
    <row r="22" spans="1:12" x14ac:dyDescent="0.2">
      <c r="A22" s="28" t="s">
        <v>120</v>
      </c>
      <c r="I22" s="28">
        <f>I21*K13</f>
        <v>29573120</v>
      </c>
    </row>
    <row r="23" spans="1:12" x14ac:dyDescent="0.2">
      <c r="A23" s="28" t="s">
        <v>13</v>
      </c>
      <c r="D23" s="28" t="s">
        <v>158</v>
      </c>
      <c r="E23" s="28">
        <v>0</v>
      </c>
      <c r="F23" s="28" t="s">
        <v>160</v>
      </c>
      <c r="G23" s="28" t="s">
        <v>152</v>
      </c>
      <c r="I23" s="62" t="s">
        <v>161</v>
      </c>
      <c r="L23" s="27"/>
    </row>
    <row r="24" spans="1:12" x14ac:dyDescent="0.2">
      <c r="D24" s="28" t="s">
        <v>159</v>
      </c>
      <c r="E24" s="28">
        <v>0</v>
      </c>
      <c r="F24" s="28" t="s">
        <v>160</v>
      </c>
      <c r="G24" s="28" t="s">
        <v>153</v>
      </c>
      <c r="I24" s="28">
        <f>7*K12+125</f>
        <v>1805</v>
      </c>
    </row>
    <row r="25" spans="1:12" x14ac:dyDescent="0.2">
      <c r="I25" s="62" t="s">
        <v>162</v>
      </c>
    </row>
    <row r="26" spans="1:12" x14ac:dyDescent="0.2">
      <c r="A26" s="28" t="s">
        <v>133</v>
      </c>
      <c r="D26" s="27"/>
      <c r="E26" s="27"/>
      <c r="F26" s="27"/>
      <c r="G26" s="27"/>
      <c r="I26" s="28">
        <f>I24*K13</f>
        <v>29573120</v>
      </c>
    </row>
  </sheetData>
  <mergeCells count="18">
    <mergeCell ref="C12:C13"/>
    <mergeCell ref="D12:G12"/>
    <mergeCell ref="H12:H13"/>
    <mergeCell ref="I12:I13"/>
    <mergeCell ref="A1:A2"/>
    <mergeCell ref="B1:B2"/>
    <mergeCell ref="D1:G1"/>
    <mergeCell ref="H1:H2"/>
    <mergeCell ref="A3:A9"/>
    <mergeCell ref="B3:B5"/>
    <mergeCell ref="B6:B7"/>
    <mergeCell ref="B8:B9"/>
    <mergeCell ref="A14:A20"/>
    <mergeCell ref="B14:B16"/>
    <mergeCell ref="B17:B18"/>
    <mergeCell ref="B19:B20"/>
    <mergeCell ref="A12:A13"/>
    <mergeCell ref="B12:B13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560-ABB5-4559-80C6-56C0B22C972E}">
  <dimension ref="A1:L36"/>
  <sheetViews>
    <sheetView topLeftCell="A4" zoomScale="175" zoomScaleNormal="175" workbookViewId="0">
      <selection activeCell="L17" sqref="L17"/>
    </sheetView>
  </sheetViews>
  <sheetFormatPr defaultColWidth="8.625" defaultRowHeight="14.25" x14ac:dyDescent="0.2"/>
  <cols>
    <col min="1" max="1" width="9.625" style="28" bestFit="1" customWidth="1"/>
    <col min="2" max="2" width="8.625" style="28"/>
    <col min="3" max="3" width="20.875" style="28" bestFit="1" customWidth="1"/>
    <col min="4" max="4" width="22.625" style="28" bestFit="1" customWidth="1"/>
    <col min="5" max="5" width="10.125" style="28" bestFit="1" customWidth="1"/>
    <col min="6" max="6" width="13.375" style="28" bestFit="1" customWidth="1"/>
    <col min="7" max="7" width="18" style="28" bestFit="1" customWidth="1"/>
    <col min="8" max="8" width="8.625" style="28"/>
    <col min="9" max="9" width="21.875" style="28" bestFit="1" customWidth="1"/>
    <col min="10" max="10" width="9.75" style="28" bestFit="1" customWidth="1"/>
    <col min="11" max="11" width="8.625" style="28"/>
    <col min="12" max="12" width="20.625" style="28" bestFit="1" customWidth="1"/>
    <col min="13" max="16384" width="8.625" style="28"/>
  </cols>
  <sheetData>
    <row r="1" spans="1:8" x14ac:dyDescent="0.2">
      <c r="A1" s="74" t="s">
        <v>115</v>
      </c>
      <c r="B1" s="74" t="s">
        <v>114</v>
      </c>
      <c r="D1" s="74" t="s">
        <v>106</v>
      </c>
      <c r="E1" s="74"/>
      <c r="F1" s="74"/>
      <c r="G1" s="74"/>
      <c r="H1" s="74" t="s">
        <v>107</v>
      </c>
    </row>
    <row r="2" spans="1:8" x14ac:dyDescent="0.2">
      <c r="A2" s="74"/>
      <c r="B2" s="74"/>
      <c r="D2" s="28" t="s">
        <v>93</v>
      </c>
      <c r="E2" s="28" t="s">
        <v>94</v>
      </c>
      <c r="F2" s="28" t="s">
        <v>95</v>
      </c>
      <c r="G2" s="28" t="s">
        <v>96</v>
      </c>
      <c r="H2" s="74"/>
    </row>
    <row r="3" spans="1:8" x14ac:dyDescent="0.2">
      <c r="A3" s="74" t="s">
        <v>113</v>
      </c>
      <c r="B3" s="74" t="s">
        <v>116</v>
      </c>
      <c r="C3" s="28" t="s">
        <v>99</v>
      </c>
      <c r="D3" s="28">
        <v>1</v>
      </c>
      <c r="E3" s="28">
        <v>0</v>
      </c>
      <c r="F3" s="28">
        <v>0</v>
      </c>
      <c r="G3" s="28">
        <v>0</v>
      </c>
      <c r="H3" s="28" t="s">
        <v>98</v>
      </c>
    </row>
    <row r="4" spans="1:8" x14ac:dyDescent="0.2">
      <c r="A4" s="74"/>
      <c r="B4" s="74"/>
      <c r="C4" s="28" t="s">
        <v>101</v>
      </c>
      <c r="D4" s="28">
        <v>0</v>
      </c>
      <c r="E4" s="28">
        <v>1</v>
      </c>
      <c r="F4" s="28">
        <v>0</v>
      </c>
      <c r="G4" s="28">
        <v>0</v>
      </c>
      <c r="H4" s="28" t="s">
        <v>97</v>
      </c>
    </row>
    <row r="5" spans="1:8" x14ac:dyDescent="0.2">
      <c r="A5" s="74"/>
      <c r="B5" s="74"/>
      <c r="C5" s="28" t="s">
        <v>100</v>
      </c>
      <c r="D5" s="28">
        <v>1</v>
      </c>
      <c r="E5" s="28">
        <v>0</v>
      </c>
      <c r="F5" s="28">
        <v>0</v>
      </c>
      <c r="G5" s="28">
        <v>0</v>
      </c>
      <c r="H5" s="28" t="s">
        <v>98</v>
      </c>
    </row>
    <row r="6" spans="1:8" x14ac:dyDescent="0.2">
      <c r="A6" s="74"/>
      <c r="B6" s="74"/>
      <c r="C6" s="28" t="s">
        <v>102</v>
      </c>
      <c r="D6" s="28">
        <v>0</v>
      </c>
      <c r="E6" s="28">
        <v>1</v>
      </c>
      <c r="F6" s="28">
        <v>0</v>
      </c>
      <c r="G6" s="28">
        <v>1</v>
      </c>
      <c r="H6" s="28">
        <v>1</v>
      </c>
    </row>
    <row r="7" spans="1:8" x14ac:dyDescent="0.2">
      <c r="A7" s="74"/>
      <c r="B7" s="74"/>
      <c r="C7" s="28" t="s">
        <v>103</v>
      </c>
      <c r="D7" s="28">
        <v>0</v>
      </c>
      <c r="E7" s="28">
        <v>1</v>
      </c>
      <c r="F7" s="28">
        <v>0</v>
      </c>
      <c r="G7" s="28">
        <v>1</v>
      </c>
      <c r="H7" s="28">
        <v>1</v>
      </c>
    </row>
    <row r="8" spans="1:8" x14ac:dyDescent="0.2">
      <c r="A8" s="74"/>
      <c r="B8" s="74"/>
      <c r="C8" s="28" t="s">
        <v>104</v>
      </c>
      <c r="D8" s="28">
        <v>0</v>
      </c>
      <c r="E8" s="28">
        <v>1</v>
      </c>
      <c r="F8" s="28">
        <v>0</v>
      </c>
      <c r="G8" s="28">
        <v>0</v>
      </c>
      <c r="H8" s="28">
        <v>1</v>
      </c>
    </row>
    <row r="9" spans="1:8" x14ac:dyDescent="0.2">
      <c r="A9" s="74"/>
      <c r="B9" s="74"/>
      <c r="C9" s="28" t="s">
        <v>105</v>
      </c>
      <c r="D9" s="28">
        <v>1</v>
      </c>
      <c r="E9" s="28">
        <v>0</v>
      </c>
      <c r="F9" s="28">
        <v>0</v>
      </c>
      <c r="G9" s="28">
        <v>0</v>
      </c>
      <c r="H9" s="28">
        <v>1</v>
      </c>
    </row>
    <row r="10" spans="1:8" x14ac:dyDescent="0.2">
      <c r="A10" s="74"/>
      <c r="B10" s="74" t="s">
        <v>117</v>
      </c>
      <c r="C10" s="28" t="s">
        <v>108</v>
      </c>
      <c r="D10" s="28">
        <v>1</v>
      </c>
      <c r="E10" s="28">
        <v>0</v>
      </c>
      <c r="F10" s="28">
        <v>1</v>
      </c>
      <c r="G10" s="28">
        <v>2</v>
      </c>
      <c r="H10" s="28">
        <v>12</v>
      </c>
    </row>
    <row r="11" spans="1:8" x14ac:dyDescent="0.2">
      <c r="A11" s="74"/>
      <c r="B11" s="74"/>
      <c r="C11" s="28" t="s">
        <v>109</v>
      </c>
      <c r="D11" s="28">
        <v>1</v>
      </c>
      <c r="E11" s="28">
        <v>0</v>
      </c>
      <c r="F11" s="28">
        <v>1</v>
      </c>
      <c r="G11" s="28">
        <v>4</v>
      </c>
      <c r="H11" s="28">
        <v>19</v>
      </c>
    </row>
    <row r="12" spans="1:8" x14ac:dyDescent="0.2">
      <c r="A12" s="74"/>
      <c r="B12" s="74" t="s">
        <v>118</v>
      </c>
      <c r="C12" s="28" t="s">
        <v>110</v>
      </c>
      <c r="D12" s="28">
        <v>1</v>
      </c>
      <c r="E12" s="28">
        <v>0</v>
      </c>
      <c r="F12" s="28">
        <v>0</v>
      </c>
      <c r="G12" s="28">
        <v>0</v>
      </c>
      <c r="H12" s="28" t="s">
        <v>97</v>
      </c>
    </row>
    <row r="13" spans="1:8" x14ac:dyDescent="0.2">
      <c r="A13" s="74"/>
      <c r="B13" s="74"/>
      <c r="C13" s="28" t="s">
        <v>111</v>
      </c>
      <c r="D13" s="28">
        <v>1</v>
      </c>
      <c r="E13" s="28">
        <v>0</v>
      </c>
      <c r="F13" s="28">
        <v>0</v>
      </c>
      <c r="G13" s="28">
        <v>0</v>
      </c>
      <c r="H13" s="28" t="s">
        <v>97</v>
      </c>
    </row>
    <row r="14" spans="1:8" x14ac:dyDescent="0.2">
      <c r="A14" s="74"/>
      <c r="B14" s="74"/>
      <c r="C14" s="28" t="s">
        <v>112</v>
      </c>
      <c r="D14" s="28">
        <v>0</v>
      </c>
      <c r="E14" s="28">
        <v>0</v>
      </c>
      <c r="F14" s="28">
        <v>1</v>
      </c>
      <c r="G14" s="28">
        <v>1</v>
      </c>
      <c r="H14" s="28" t="s">
        <v>97</v>
      </c>
    </row>
    <row r="17" spans="1:12" x14ac:dyDescent="0.2">
      <c r="A17" s="74" t="s">
        <v>115</v>
      </c>
      <c r="B17" s="74" t="s">
        <v>114</v>
      </c>
      <c r="C17" s="74" t="s">
        <v>122</v>
      </c>
      <c r="D17" s="74" t="s">
        <v>106</v>
      </c>
      <c r="E17" s="74"/>
      <c r="F17" s="74"/>
      <c r="G17" s="74"/>
      <c r="H17" s="74" t="s">
        <v>107</v>
      </c>
      <c r="I17" s="74" t="s">
        <v>121</v>
      </c>
      <c r="J17" s="28" t="s">
        <v>123</v>
      </c>
      <c r="K17" s="28">
        <v>32</v>
      </c>
      <c r="L17" s="28" t="s">
        <v>172</v>
      </c>
    </row>
    <row r="18" spans="1:12" x14ac:dyDescent="0.2">
      <c r="A18" s="74"/>
      <c r="B18" s="74"/>
      <c r="C18" s="74"/>
      <c r="D18" s="28" t="s">
        <v>93</v>
      </c>
      <c r="E18" s="28" t="s">
        <v>94</v>
      </c>
      <c r="F18" s="28" t="s">
        <v>95</v>
      </c>
      <c r="G18" s="28" t="s">
        <v>96</v>
      </c>
      <c r="H18" s="74"/>
      <c r="I18" s="74"/>
      <c r="J18" s="28" t="s">
        <v>124</v>
      </c>
      <c r="K18" s="28">
        <v>16384</v>
      </c>
    </row>
    <row r="19" spans="1:12" x14ac:dyDescent="0.2">
      <c r="A19" s="74" t="s">
        <v>113</v>
      </c>
      <c r="B19" s="74" t="s">
        <v>116</v>
      </c>
      <c r="C19" s="28" t="s">
        <v>99</v>
      </c>
      <c r="D19" s="28">
        <v>1</v>
      </c>
      <c r="E19" s="28">
        <v>0</v>
      </c>
      <c r="F19" s="28">
        <v>0</v>
      </c>
      <c r="G19" s="28">
        <v>0</v>
      </c>
      <c r="H19" s="28">
        <f>K17-1</f>
        <v>31</v>
      </c>
      <c r="I19" s="28">
        <f>SUM(D19:G19)*H19</f>
        <v>31</v>
      </c>
    </row>
    <row r="20" spans="1:12" x14ac:dyDescent="0.2">
      <c r="A20" s="74"/>
      <c r="B20" s="74"/>
      <c r="C20" s="28" t="s">
        <v>101</v>
      </c>
      <c r="D20" s="28">
        <v>0</v>
      </c>
      <c r="E20" s="28">
        <v>1</v>
      </c>
      <c r="F20" s="28">
        <v>0</v>
      </c>
      <c r="G20" s="28">
        <v>0</v>
      </c>
      <c r="H20" s="28">
        <f>K17</f>
        <v>32</v>
      </c>
      <c r="I20" s="28">
        <f t="shared" ref="I20:I30" si="0">SUM(D20:G20)*H20</f>
        <v>32</v>
      </c>
    </row>
    <row r="21" spans="1:12" x14ac:dyDescent="0.2">
      <c r="A21" s="74"/>
      <c r="B21" s="74"/>
      <c r="C21" s="28" t="s">
        <v>100</v>
      </c>
      <c r="D21" s="28">
        <v>1</v>
      </c>
      <c r="E21" s="28">
        <v>0</v>
      </c>
      <c r="F21" s="28">
        <v>0</v>
      </c>
      <c r="G21" s="28">
        <v>0</v>
      </c>
      <c r="H21" s="28">
        <f>K17-1</f>
        <v>31</v>
      </c>
      <c r="I21" s="28">
        <f t="shared" si="0"/>
        <v>31</v>
      </c>
    </row>
    <row r="22" spans="1:12" x14ac:dyDescent="0.2">
      <c r="A22" s="74"/>
      <c r="B22" s="74"/>
      <c r="C22" s="28" t="s">
        <v>102</v>
      </c>
      <c r="D22" s="28">
        <v>0</v>
      </c>
      <c r="E22" s="28">
        <v>1</v>
      </c>
      <c r="F22" s="28">
        <v>0</v>
      </c>
      <c r="G22" s="28">
        <v>1</v>
      </c>
      <c r="H22" s="28">
        <v>1</v>
      </c>
      <c r="I22" s="28">
        <f t="shared" si="0"/>
        <v>2</v>
      </c>
    </row>
    <row r="23" spans="1:12" x14ac:dyDescent="0.2">
      <c r="A23" s="74"/>
      <c r="B23" s="74"/>
      <c r="C23" s="28" t="s">
        <v>103</v>
      </c>
      <c r="D23" s="28">
        <v>0</v>
      </c>
      <c r="E23" s="28">
        <v>1</v>
      </c>
      <c r="F23" s="28">
        <v>0</v>
      </c>
      <c r="G23" s="28">
        <v>1</v>
      </c>
      <c r="H23" s="28">
        <v>1</v>
      </c>
      <c r="I23" s="28">
        <f t="shared" si="0"/>
        <v>2</v>
      </c>
    </row>
    <row r="24" spans="1:12" x14ac:dyDescent="0.2">
      <c r="A24" s="74"/>
      <c r="B24" s="74"/>
      <c r="C24" s="28" t="s">
        <v>104</v>
      </c>
      <c r="D24" s="28">
        <v>0</v>
      </c>
      <c r="E24" s="28">
        <v>1</v>
      </c>
      <c r="F24" s="28">
        <v>0</v>
      </c>
      <c r="G24" s="28">
        <v>0</v>
      </c>
      <c r="H24" s="28">
        <v>1</v>
      </c>
      <c r="I24" s="28">
        <f t="shared" si="0"/>
        <v>1</v>
      </c>
    </row>
    <row r="25" spans="1:12" x14ac:dyDescent="0.2">
      <c r="A25" s="74"/>
      <c r="B25" s="74"/>
      <c r="C25" s="28" t="s">
        <v>105</v>
      </c>
      <c r="D25" s="28">
        <v>1</v>
      </c>
      <c r="E25" s="28">
        <v>0</v>
      </c>
      <c r="F25" s="28">
        <v>0</v>
      </c>
      <c r="G25" s="28">
        <v>0</v>
      </c>
      <c r="H25" s="28">
        <v>1</v>
      </c>
      <c r="I25" s="28">
        <f t="shared" si="0"/>
        <v>1</v>
      </c>
    </row>
    <row r="26" spans="1:12" x14ac:dyDescent="0.2">
      <c r="A26" s="74"/>
      <c r="B26" s="74" t="s">
        <v>117</v>
      </c>
      <c r="C26" s="28" t="s">
        <v>108</v>
      </c>
      <c r="D26" s="28">
        <v>1</v>
      </c>
      <c r="E26" s="28">
        <v>0</v>
      </c>
      <c r="F26" s="28">
        <v>1</v>
      </c>
      <c r="G26" s="28">
        <v>2</v>
      </c>
      <c r="H26" s="28">
        <v>12</v>
      </c>
      <c r="I26" s="28">
        <f t="shared" si="0"/>
        <v>48</v>
      </c>
    </row>
    <row r="27" spans="1:12" x14ac:dyDescent="0.2">
      <c r="A27" s="74"/>
      <c r="B27" s="74"/>
      <c r="C27" s="28" t="s">
        <v>109</v>
      </c>
      <c r="D27" s="28">
        <v>1</v>
      </c>
      <c r="E27" s="28">
        <v>0</v>
      </c>
      <c r="F27" s="28">
        <v>1</v>
      </c>
      <c r="G27" s="28">
        <v>4</v>
      </c>
      <c r="H27" s="28">
        <v>19</v>
      </c>
      <c r="I27" s="28">
        <f t="shared" si="0"/>
        <v>114</v>
      </c>
    </row>
    <row r="28" spans="1:12" x14ac:dyDescent="0.2">
      <c r="A28" s="74"/>
      <c r="B28" s="74" t="s">
        <v>118</v>
      </c>
      <c r="C28" s="28" t="s">
        <v>110</v>
      </c>
      <c r="D28" s="28">
        <v>1</v>
      </c>
      <c r="E28" s="28">
        <v>0</v>
      </c>
      <c r="F28" s="28">
        <v>0</v>
      </c>
      <c r="G28" s="28">
        <v>0</v>
      </c>
      <c r="H28" s="28">
        <f>K17</f>
        <v>32</v>
      </c>
      <c r="I28" s="28">
        <f t="shared" si="0"/>
        <v>32</v>
      </c>
    </row>
    <row r="29" spans="1:12" x14ac:dyDescent="0.2">
      <c r="A29" s="74"/>
      <c r="B29" s="74"/>
      <c r="C29" s="28" t="s">
        <v>111</v>
      </c>
      <c r="D29" s="28">
        <v>1</v>
      </c>
      <c r="E29" s="28">
        <v>0</v>
      </c>
      <c r="F29" s="28">
        <v>0</v>
      </c>
      <c r="G29" s="28">
        <v>0</v>
      </c>
      <c r="H29" s="28">
        <f>K17</f>
        <v>32</v>
      </c>
      <c r="I29" s="28">
        <f t="shared" si="0"/>
        <v>32</v>
      </c>
    </row>
    <row r="30" spans="1:12" x14ac:dyDescent="0.2">
      <c r="A30" s="74"/>
      <c r="B30" s="74"/>
      <c r="C30" s="28" t="s">
        <v>112</v>
      </c>
      <c r="D30" s="28">
        <v>0</v>
      </c>
      <c r="E30" s="28">
        <v>0</v>
      </c>
      <c r="F30" s="28">
        <v>1</v>
      </c>
      <c r="G30" s="28">
        <v>1</v>
      </c>
      <c r="H30" s="28">
        <f>K17</f>
        <v>32</v>
      </c>
      <c r="I30" s="28">
        <f t="shared" si="0"/>
        <v>64</v>
      </c>
    </row>
    <row r="31" spans="1:12" x14ac:dyDescent="0.2">
      <c r="A31" s="28" t="s">
        <v>119</v>
      </c>
      <c r="I31" s="28">
        <f>SUM(I19:I30)</f>
        <v>390</v>
      </c>
    </row>
    <row r="32" spans="1:12" x14ac:dyDescent="0.2">
      <c r="A32" s="28" t="s">
        <v>120</v>
      </c>
      <c r="I32" s="28">
        <f>I31*K18</f>
        <v>6389760</v>
      </c>
    </row>
    <row r="33" spans="1:12" x14ac:dyDescent="0.2">
      <c r="A33" s="28" t="s">
        <v>13</v>
      </c>
      <c r="D33" s="28" t="s">
        <v>125</v>
      </c>
      <c r="E33" s="28" t="s">
        <v>126</v>
      </c>
      <c r="F33" s="28" t="s">
        <v>127</v>
      </c>
      <c r="G33" s="28" t="s">
        <v>128</v>
      </c>
      <c r="I33" s="62" t="s">
        <v>135</v>
      </c>
      <c r="L33" s="27"/>
    </row>
    <row r="34" spans="1:12" x14ac:dyDescent="0.2">
      <c r="D34" s="28" t="s">
        <v>129</v>
      </c>
      <c r="E34" s="28" t="s">
        <v>130</v>
      </c>
      <c r="F34" s="28" t="s">
        <v>131</v>
      </c>
      <c r="G34" s="28" t="s">
        <v>132</v>
      </c>
      <c r="I34" s="28">
        <f>7*K17+166</f>
        <v>390</v>
      </c>
    </row>
    <row r="35" spans="1:12" x14ac:dyDescent="0.2">
      <c r="I35" s="62" t="s">
        <v>136</v>
      </c>
    </row>
    <row r="36" spans="1:12" x14ac:dyDescent="0.2">
      <c r="A36" s="28" t="s">
        <v>133</v>
      </c>
      <c r="D36" s="27"/>
      <c r="E36" s="27"/>
      <c r="F36" s="27"/>
      <c r="G36" s="27"/>
      <c r="I36" s="28">
        <f>I34*K18</f>
        <v>6389760</v>
      </c>
    </row>
  </sheetData>
  <mergeCells count="18">
    <mergeCell ref="A19:A30"/>
    <mergeCell ref="B19:B25"/>
    <mergeCell ref="B26:B27"/>
    <mergeCell ref="B28:B30"/>
    <mergeCell ref="B17:B18"/>
    <mergeCell ref="A17:A18"/>
    <mergeCell ref="I17:I18"/>
    <mergeCell ref="C17:C18"/>
    <mergeCell ref="A1:A2"/>
    <mergeCell ref="B1:B2"/>
    <mergeCell ref="A3:A14"/>
    <mergeCell ref="B3:B9"/>
    <mergeCell ref="B10:B11"/>
    <mergeCell ref="B12:B14"/>
    <mergeCell ref="D1:G1"/>
    <mergeCell ref="H1:H2"/>
    <mergeCell ref="D17:G17"/>
    <mergeCell ref="H17:H18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1B68-6A66-4DDD-9CCB-1C80D2122EB6}">
  <dimension ref="A1:H5"/>
  <sheetViews>
    <sheetView zoomScale="220" zoomScaleNormal="220" workbookViewId="0">
      <selection activeCell="H3" sqref="H3"/>
    </sheetView>
  </sheetViews>
  <sheetFormatPr defaultRowHeight="14.25" x14ac:dyDescent="0.2"/>
  <cols>
    <col min="2" max="2" width="9.375" bestFit="1" customWidth="1"/>
    <col min="3" max="3" width="9.125" bestFit="1" customWidth="1"/>
    <col min="4" max="4" width="9.375" bestFit="1" customWidth="1"/>
    <col min="5" max="5" width="10.125" bestFit="1" customWidth="1"/>
    <col min="6" max="6" width="10.25" bestFit="1" customWidth="1"/>
    <col min="8" max="8" width="38.125" bestFit="1" customWidth="1"/>
  </cols>
  <sheetData>
    <row r="1" spans="1:8" x14ac:dyDescent="0.2">
      <c r="A1" s="31" t="s">
        <v>16</v>
      </c>
      <c r="B1" s="31" t="s">
        <v>167</v>
      </c>
      <c r="C1" s="31" t="s">
        <v>163</v>
      </c>
      <c r="D1" s="31" t="s">
        <v>164</v>
      </c>
      <c r="E1" s="31" t="s">
        <v>165</v>
      </c>
      <c r="F1" s="31" t="s">
        <v>166</v>
      </c>
    </row>
    <row r="2" spans="1:8" x14ac:dyDescent="0.2">
      <c r="A2" s="66" t="s">
        <v>134</v>
      </c>
      <c r="B2" s="31" t="s">
        <v>168</v>
      </c>
      <c r="C2" s="31" t="s">
        <v>173</v>
      </c>
      <c r="D2" s="31" t="s">
        <v>173</v>
      </c>
      <c r="E2" s="31" t="s">
        <v>174</v>
      </c>
      <c r="F2" s="31" t="s">
        <v>174</v>
      </c>
      <c r="H2" t="s">
        <v>171</v>
      </c>
    </row>
    <row r="3" spans="1:8" x14ac:dyDescent="0.2">
      <c r="A3" s="67"/>
      <c r="B3" s="31" t="s">
        <v>169</v>
      </c>
      <c r="C3" s="31" t="s">
        <v>173</v>
      </c>
      <c r="D3" s="31" t="s">
        <v>173</v>
      </c>
      <c r="E3" s="31" t="s">
        <v>173</v>
      </c>
      <c r="F3" s="31" t="s">
        <v>173</v>
      </c>
    </row>
    <row r="4" spans="1:8" x14ac:dyDescent="0.2">
      <c r="A4" s="66" t="s">
        <v>113</v>
      </c>
      <c r="B4" s="31" t="s">
        <v>113</v>
      </c>
      <c r="C4" s="31" t="s">
        <v>173</v>
      </c>
      <c r="D4" s="31" t="s">
        <v>173</v>
      </c>
      <c r="E4" s="31" t="s">
        <v>173</v>
      </c>
      <c r="F4" s="31" t="s">
        <v>173</v>
      </c>
    </row>
    <row r="5" spans="1:8" x14ac:dyDescent="0.2">
      <c r="A5" s="67"/>
      <c r="B5" s="31" t="s">
        <v>170</v>
      </c>
      <c r="C5" s="31" t="s">
        <v>173</v>
      </c>
      <c r="D5" s="31" t="s">
        <v>173</v>
      </c>
      <c r="E5" s="31" t="s">
        <v>173</v>
      </c>
      <c r="F5" s="31" t="s">
        <v>173</v>
      </c>
    </row>
  </sheetData>
  <mergeCells count="2">
    <mergeCell ref="A2:A3"/>
    <mergeCell ref="A4:A5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IO</vt:lpstr>
      <vt:lpstr>Instruction(SPU)</vt:lpstr>
      <vt:lpstr>Spec Support</vt:lpstr>
      <vt:lpstr>Buffer</vt:lpstr>
      <vt:lpstr>op statistics (SoftMax, pwl)</vt:lpstr>
      <vt:lpstr>op statistics (SoftMax, lut)</vt:lpstr>
      <vt:lpstr>op statistics (LayerNorm)</vt:lpstr>
      <vt:lpstr>SRAM 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xuejiaoliu</dc:creator>
  <cp:lastModifiedBy>TAN Yonghao</cp:lastModifiedBy>
  <dcterms:created xsi:type="dcterms:W3CDTF">2015-06-05T18:17:20Z</dcterms:created>
  <dcterms:modified xsi:type="dcterms:W3CDTF">2024-02-05T04:25:13Z</dcterms:modified>
</cp:coreProperties>
</file>