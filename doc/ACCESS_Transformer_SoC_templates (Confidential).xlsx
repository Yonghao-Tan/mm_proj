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xuejiaoliu\Desktop\Transformer\uarch\ISA&amp;Spec\"/>
    </mc:Choice>
  </mc:AlternateContent>
  <xr:revisionPtr revIDLastSave="0" documentId="13_ncr:1_{FF9456E7-1B4E-4240-9CE7-84990B2E9698}" xr6:coauthVersionLast="47" xr6:coauthVersionMax="47" xr10:uidLastSave="{00000000-0000-0000-0000-000000000000}"/>
  <bookViews>
    <workbookView xWindow="2460" yWindow="1530" windowWidth="31090" windowHeight="18630" xr2:uid="{00000000-000D-0000-FFFF-FFFF00000000}"/>
  </bookViews>
  <sheets>
    <sheet name="IO" sheetId="1" r:id="rId1"/>
    <sheet name="RegisterList" sheetId="4" r:id="rId2"/>
    <sheet name="Instruction(Resize)" sheetId="2" r:id="rId3"/>
    <sheet name="Instruction(SPU)" sheetId="3" r:id="rId4"/>
    <sheet name="BufferStructur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3" l="1"/>
  <c r="C16" i="3"/>
  <c r="F5" i="3"/>
  <c r="E5" i="3" s="1"/>
  <c r="F9" i="3" s="1"/>
  <c r="E9" i="3" s="1"/>
  <c r="F10" i="3" s="1"/>
  <c r="E10" i="3" s="1"/>
  <c r="F11" i="3" s="1"/>
  <c r="E11" i="3" s="1"/>
  <c r="F12" i="3" s="1"/>
  <c r="E12" i="3" s="1"/>
  <c r="F13" i="3" s="1"/>
  <c r="E13" i="3" s="1"/>
  <c r="F14" i="3" s="1"/>
  <c r="E14" i="3" s="1"/>
  <c r="F15" i="3" s="1"/>
  <c r="E15" i="3" s="1"/>
  <c r="F20" i="3" s="1"/>
  <c r="E20" i="3" s="1"/>
  <c r="F21" i="3" s="1"/>
  <c r="E21" i="3" s="1"/>
  <c r="F22" i="3" s="1"/>
  <c r="E22" i="3" s="1"/>
  <c r="F23" i="3" s="1"/>
  <c r="E23" i="3" s="1"/>
  <c r="F24" i="3" s="1"/>
  <c r="E24" i="3" s="1"/>
  <c r="F29" i="3" s="1"/>
  <c r="E29" i="3" s="1"/>
  <c r="C31" i="3" s="1"/>
  <c r="C25" i="2"/>
  <c r="C16" i="2"/>
  <c r="F5" i="2"/>
  <c r="E5" i="2" s="1"/>
  <c r="F9" i="2" s="1"/>
  <c r="E9" i="2" s="1"/>
  <c r="F10" i="2" s="1"/>
  <c r="E10" i="2" s="1"/>
  <c r="F11" i="2" s="1"/>
  <c r="E11" i="2" s="1"/>
  <c r="F12" i="2" s="1"/>
  <c r="E12" i="2" s="1"/>
  <c r="F13" i="2" s="1"/>
  <c r="E13" i="2" s="1"/>
  <c r="F14" i="2" s="1"/>
  <c r="E14" i="2" s="1"/>
  <c r="F15" i="2" s="1"/>
  <c r="E15" i="2" s="1"/>
  <c r="F20" i="2" s="1"/>
  <c r="E20" i="2" s="1"/>
  <c r="F21" i="2" s="1"/>
  <c r="E21" i="2" s="1"/>
  <c r="F22" i="2" s="1"/>
  <c r="E22" i="2" s="1"/>
  <c r="F23" i="2" s="1"/>
  <c r="E23" i="2" s="1"/>
  <c r="F24" i="2" s="1"/>
  <c r="E24" i="2" s="1"/>
  <c r="F29" i="2" s="1"/>
  <c r="E29" i="2" s="1"/>
  <c r="C3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patrickkong</author>
  </authors>
  <commentList>
    <comment ref="C4" authorId="0" shapeId="0" xr:uid="{C3F4563E-C4C5-4A28-9C10-D8FE7F57FF99}">
      <text>
        <r>
          <rPr>
            <b/>
            <sz val="9"/>
            <color indexed="81"/>
            <rFont val="Tahoma"/>
            <family val="2"/>
          </rPr>
          <t>patrickkong:</t>
        </r>
        <r>
          <rPr>
            <sz val="9"/>
            <color indexed="81"/>
            <rFont val="Tahoma"/>
            <family val="2"/>
          </rPr>
          <t xml:space="preserve">
reserved - unused bits</t>
        </r>
      </text>
    </comment>
    <comment ref="D4" authorId="0" shapeId="0" xr:uid="{C2EB6AC1-66AB-45ED-A5E0-B327F290701A}">
      <text>
        <r>
          <rPr>
            <b/>
            <sz val="9"/>
            <color indexed="81"/>
            <rFont val="Tahoma"/>
            <family val="2"/>
          </rPr>
          <t>patrickkong:</t>
        </r>
        <r>
          <rPr>
            <sz val="9"/>
            <color indexed="81"/>
            <rFont val="Tahoma"/>
            <family val="2"/>
          </rPr>
          <t xml:space="preserve">
MSB:LSB</t>
        </r>
      </text>
    </comment>
    <comment ref="E4" authorId="0" shapeId="0" xr:uid="{DA4D28F7-8138-4B04-BBC2-292C7783EEAE}">
      <text>
        <r>
          <rPr>
            <b/>
            <sz val="9"/>
            <color indexed="81"/>
            <rFont val="Tahoma"/>
            <family val="2"/>
          </rPr>
          <t>patrickkong:</t>
        </r>
        <r>
          <rPr>
            <sz val="9"/>
            <color indexed="81"/>
            <rFont val="Tahoma"/>
            <family val="2"/>
          </rPr>
          <t xml:space="preserve">
RO - Read Only
RW - Read,Write
RWC - Read,Write 1 Clear
W1P - Write 1 pulse
FFW - FIFO write</t>
        </r>
      </text>
    </comment>
  </commentList>
</comments>
</file>

<file path=xl/sharedStrings.xml><?xml version="1.0" encoding="utf-8"?>
<sst xmlns="http://schemas.openxmlformats.org/spreadsheetml/2006/main" count="291" uniqueCount="169">
  <si>
    <t>Signal Name</t>
  </si>
  <si>
    <t>I/O</t>
  </si>
  <si>
    <t>Bit Width</t>
  </si>
  <si>
    <t>Descriptions</t>
  </si>
  <si>
    <t>rst_n</t>
  </si>
  <si>
    <t>reset input, active-low</t>
  </si>
  <si>
    <t>cfg_rst_n</t>
  </si>
  <si>
    <t>Configure reset, active-low</t>
  </si>
  <si>
    <t>apb_s_psel</t>
  </si>
  <si>
    <t>APB3 slave select</t>
  </si>
  <si>
    <t>apb_s_penable</t>
  </si>
  <si>
    <t>APB3 slave enable</t>
  </si>
  <si>
    <t>apb_s_paddr</t>
  </si>
  <si>
    <t>APB3 slave address bus</t>
  </si>
  <si>
    <t>apb_s_pwrite</t>
  </si>
  <si>
    <t>APB3 slave write/read</t>
  </si>
  <si>
    <t>apb_s_pwdata</t>
  </si>
  <si>
    <t>APB3 slave write data bus</t>
  </si>
  <si>
    <t>apb_s_pready</t>
  </si>
  <si>
    <t>APB3 slave ready</t>
  </si>
  <si>
    <t>apb_s_prdata</t>
  </si>
  <si>
    <t>APB3 slave read data bus</t>
  </si>
  <si>
    <t>apb_s_pslverr</t>
  </si>
  <si>
    <t>APB3 slave error</t>
  </si>
  <si>
    <t>Global Signals</t>
  </si>
  <si>
    <t>core_clk</t>
  </si>
  <si>
    <t>process clock</t>
  </si>
  <si>
    <t>Configuration Interface</t>
  </si>
  <si>
    <t>fmbuf_ren</t>
  </si>
  <si>
    <t>fmbuf_raddr</t>
  </si>
  <si>
    <t>fmbuf_rdata</t>
  </si>
  <si>
    <t>fmbuf_wen</t>
  </si>
  <si>
    <t>fmbuf_waddr</t>
  </si>
  <si>
    <t>fmbuf_wdata</t>
  </si>
  <si>
    <t>I</t>
  </si>
  <si>
    <t>fmbuf Interface</t>
  </si>
  <si>
    <t>O</t>
  </si>
  <si>
    <t>fmbuf read enable</t>
  </si>
  <si>
    <t>fmbuf write enable</t>
  </si>
  <si>
    <t>lyr_start</t>
  </si>
  <si>
    <t>Control Interface</t>
  </si>
  <si>
    <t>lyr_end</t>
  </si>
  <si>
    <t>lyr_instr</t>
  </si>
  <si>
    <t>APB Interface RTL will be auto-generated according to the register list. Each block will get a register list.</t>
  </si>
  <si>
    <t>layer start (a pulse)</t>
  </si>
  <si>
    <t>layer ending (a pulse)</t>
  </si>
  <si>
    <t>instruction for the layer, validated by lyr_start pulse</t>
  </si>
  <si>
    <t>fmbuf read address, validated by fmbuf_ren</t>
  </si>
  <si>
    <t>fmbuf write address, validated by fmbuf_wen</t>
  </si>
  <si>
    <t>fmbuf write data, validated by fmbuf_wen</t>
  </si>
  <si>
    <t>fmbuf read data, 2cycle delay from fmbuf_ren</t>
  </si>
  <si>
    <t>Note</t>
  </si>
  <si>
    <t>ISA Fields</t>
    <phoneticPr fontId="0" type="noConversion"/>
  </si>
  <si>
    <t># of bits</t>
    <phoneticPr fontId="0" type="noConversion"/>
  </si>
  <si>
    <t>Valid Data</t>
    <phoneticPr fontId="0" type="noConversion"/>
  </si>
  <si>
    <t>Start Bit</t>
  </si>
  <si>
    <t>End Bit</t>
  </si>
  <si>
    <t>Description</t>
    <phoneticPr fontId="0" type="noConversion"/>
  </si>
  <si>
    <t>OP</t>
  </si>
  <si>
    <t>Common field to indicate operation and target engines.  OP=4'h2 for Resize</t>
  </si>
  <si>
    <t>ISA_LEN</t>
  </si>
  <si>
    <t>0 ~ 7</t>
  </si>
  <si>
    <t>Indicate the length of one instruction in 64bit, instruction length=(ISA_LEN+1)*64bit</t>
  </si>
  <si>
    <t>Neural Network Fields</t>
    <phoneticPr fontId="0" type="noConversion"/>
  </si>
  <si>
    <t>Resize_OP</t>
  </si>
  <si>
    <t>4'h0: bi-linear
4'h1: bi-cubic</t>
  </si>
  <si>
    <t>Operators for Resize Unit to process</t>
  </si>
  <si>
    <t>reserved</t>
    <phoneticPr fontId="0" type="noConversion"/>
  </si>
  <si>
    <t>reserved</t>
  </si>
  <si>
    <t>ifmap_h</t>
  </si>
  <si>
    <t>0 means 1 pixel</t>
    <phoneticPr fontId="0" type="noConversion"/>
  </si>
  <si>
    <t>Input feature map height</t>
  </si>
  <si>
    <t>ifmap_w</t>
  </si>
  <si>
    <t>ifmap_c</t>
  </si>
  <si>
    <t>0 means 1 channel</t>
  </si>
  <si>
    <t>Input feature map channel</t>
  </si>
  <si>
    <t>ratio</t>
  </si>
  <si>
    <t>2'h0: 2
2'h1: 4
2'h2: 8
2'h3: 16</t>
  </si>
  <si>
    <t>Resize ratio</t>
  </si>
  <si>
    <t>Address Fields</t>
    <phoneticPr fontId="0" type="noConversion"/>
  </si>
  <si>
    <t>ifm_base_addr</t>
  </si>
  <si>
    <t>range [0, 8191]</t>
  </si>
  <si>
    <t>fmBuf depth is 8192</t>
  </si>
  <si>
    <t>ifm_block_align</t>
  </si>
  <si>
    <t>range [0, 2047]</t>
  </si>
  <si>
    <t>Step of ifm block, &gt;= ifmap_c/8</t>
  </si>
  <si>
    <t>ofm_base_addr</t>
  </si>
  <si>
    <t>ofm_block_align</t>
  </si>
  <si>
    <t>Step of ofm block, &gt;= ofmap_c/8</t>
  </si>
  <si>
    <t>Auxiliary Fields</t>
  </si>
  <si>
    <t>fields according to detailed design</t>
  </si>
  <si>
    <t>Total</t>
    <phoneticPr fontId="0" type="noConversion"/>
  </si>
  <si>
    <t>Note: pad 0 to align to ISA_LEN*64bit for one-layer</t>
  </si>
  <si>
    <t>0 means 1 pixel</t>
  </si>
  <si>
    <t>Input feature map width</t>
  </si>
  <si>
    <t>Common field to indicate operation and target engines.  OP=4'h3 for SPU</t>
  </si>
  <si>
    <t>SPU_OP</t>
  </si>
  <si>
    <t>4'h0: softmax
4'h1: layer_norm</t>
  </si>
  <si>
    <t>token_dir</t>
  </si>
  <si>
    <t>1'h0: ifmap_h x ifmap_w is token
1'h1: ifmap_c is token</t>
  </si>
  <si>
    <t>Indicate token direction in the fmap space</t>
  </si>
  <si>
    <t>Operators for SPU Unit to process</t>
  </si>
  <si>
    <t>Module</t>
  </si>
  <si>
    <t>Base Address</t>
  </si>
  <si>
    <t>Address Width</t>
  </si>
  <si>
    <t>Data Width</t>
  </si>
  <si>
    <t>block_name</t>
  </si>
  <si>
    <t>12</t>
  </si>
  <si>
    <t>32</t>
  </si>
  <si>
    <t>Name</t>
  </si>
  <si>
    <t>Offset(hex)</t>
  </si>
  <si>
    <t>Field</t>
  </si>
  <si>
    <t>Bits</t>
  </si>
  <si>
    <t>Type</t>
  </si>
  <si>
    <t>Reset(hex)</t>
  </si>
  <si>
    <t>Description</t>
  </si>
  <si>
    <t>BLOCK_STATUS</t>
  </si>
  <si>
    <t>000</t>
  </si>
  <si>
    <t>31:4</t>
  </si>
  <si>
    <t>-</t>
  </si>
  <si>
    <t>proc_done</t>
  </si>
  <si>
    <t>3</t>
  </si>
  <si>
    <t>W1C</t>
  </si>
  <si>
    <t>0x0</t>
  </si>
  <si>
    <t>process status to let MCU know, such as some processing stage finished</t>
  </si>
  <si>
    <t>fifo_werr</t>
  </si>
  <si>
    <t>2</t>
  </si>
  <si>
    <t>error details to let MCU know, such as internal fifo write empty</t>
  </si>
  <si>
    <t>fifo_rerr</t>
  </si>
  <si>
    <t>1</t>
  </si>
  <si>
    <t>error details to let MCU know, such as internal fifo read empty</t>
  </si>
  <si>
    <t>op_err</t>
  </si>
  <si>
    <t>0</t>
  </si>
  <si>
    <t>error details to let MCU know, such as operator field error</t>
  </si>
  <si>
    <t>BLOCK_CFG</t>
  </si>
  <si>
    <t>004</t>
  </si>
  <si>
    <t>31:5</t>
  </si>
  <si>
    <t>cfg_field_name</t>
  </si>
  <si>
    <t>4:0</t>
  </si>
  <si>
    <t>RW</t>
  </si>
  <si>
    <t>0xF</t>
  </si>
  <si>
    <t>Some configurations from MCU</t>
  </si>
  <si>
    <t>BLOCK_CTRL</t>
  </si>
  <si>
    <t>00C</t>
  </si>
  <si>
    <t>31:6</t>
  </si>
  <si>
    <t>data_write</t>
  </si>
  <si>
    <t>5</t>
  </si>
  <si>
    <t>W1P</t>
  </si>
  <si>
    <t>Some control signal from MCU, sucah as some trigger pulse</t>
  </si>
  <si>
    <t>data_type</t>
  </si>
  <si>
    <t>4</t>
  </si>
  <si>
    <t>Some control signal from MCU, such as some selections</t>
  </si>
  <si>
    <t>3:1</t>
  </si>
  <si>
    <t>-</t>
    <phoneticPr fontId="0" type="noConversion"/>
  </si>
  <si>
    <t>bist_en</t>
  </si>
  <si>
    <t>Some control signal from MCU, such as some test mode</t>
  </si>
  <si>
    <t>BLOCK_INFO</t>
  </si>
  <si>
    <t>010</t>
  </si>
  <si>
    <t>31:13</t>
  </si>
  <si>
    <t>op_cnt</t>
  </si>
  <si>
    <t>12:8</t>
  </si>
  <si>
    <t>RO</t>
  </si>
  <si>
    <t>some data/signal to let MCU know</t>
  </si>
  <si>
    <t>7:5</t>
  </si>
  <si>
    <t>det_data</t>
  </si>
  <si>
    <t>4'h1: CT-engine
4'h2: Resize
4'h3: Special_pu
4'h4: Control</t>
  </si>
  <si>
    <t>fmbuf:</t>
  </si>
  <si>
    <t>weiBuf:</t>
  </si>
  <si>
    <t>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</si>
</sst>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i/>
      <sz val="11"/>
      <color theme="8"/>
      <name val="Calibri"/>
      <family val="3"/>
      <charset val="134"/>
      <scheme val="minor"/>
    </font>
    <font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10"/>
      </patternFill>
    </fill>
    <fill>
      <patternFill patternType="solid">
        <fgColor indexed="29"/>
        <bgColor indexed="29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ck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indexed="9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8" xfId="0" applyBorder="1"/>
    <xf numFmtId="0" fontId="0" fillId="0" borderId="8" xfId="0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8" xfId="0" applyFill="1" applyBorder="1" applyAlignment="1">
      <alignment vertical="center" wrapText="1"/>
    </xf>
    <xf numFmtId="0" fontId="0" fillId="2" borderId="8" xfId="0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2" borderId="8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49" fontId="10" fillId="4" borderId="10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horizontal="right" wrapText="1"/>
    </xf>
    <xf numFmtId="0" fontId="0" fillId="0" borderId="0" xfId="0" applyAlignment="1">
      <alignment horizontal="left" wrapText="1"/>
    </xf>
    <xf numFmtId="49" fontId="0" fillId="5" borderId="11" xfId="0" applyNumberFormat="1" applyFill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10" fillId="4" borderId="10" xfId="0" applyNumberFormat="1" applyFont="1" applyFill="1" applyBorder="1" applyAlignment="1">
      <alignment horizontal="right" wrapText="1"/>
    </xf>
    <xf numFmtId="0" fontId="10" fillId="4" borderId="12" xfId="0" applyFont="1" applyFill="1" applyBorder="1" applyAlignment="1">
      <alignment horizontal="left" wrapText="1"/>
    </xf>
    <xf numFmtId="49" fontId="0" fillId="6" borderId="0" xfId="0" applyNumberFormat="1" applyFill="1" applyAlignment="1">
      <alignment horizontal="left" wrapText="1"/>
    </xf>
    <xf numFmtId="0" fontId="0" fillId="6" borderId="0" xfId="0" applyFill="1"/>
    <xf numFmtId="49" fontId="0" fillId="6" borderId="0" xfId="0" applyNumberFormat="1" applyFill="1" applyAlignment="1">
      <alignment horizontal="right" wrapText="1"/>
    </xf>
    <xf numFmtId="0" fontId="0" fillId="6" borderId="0" xfId="0" applyFill="1" applyAlignment="1">
      <alignment horizontal="left" wrapText="1"/>
    </xf>
    <xf numFmtId="49" fontId="0" fillId="2" borderId="0" xfId="0" applyNumberFormat="1" applyFill="1" applyAlignment="1">
      <alignment wrapText="1"/>
    </xf>
    <xf numFmtId="49" fontId="0" fillId="0" borderId="0" xfId="0" applyNumberFormat="1" applyAlignment="1">
      <alignment wrapText="1"/>
    </xf>
    <xf numFmtId="49" fontId="0" fillId="6" borderId="0" xfId="0" applyNumberFormat="1" applyFill="1"/>
    <xf numFmtId="49" fontId="11" fillId="0" borderId="0" xfId="0" applyNumberFormat="1" applyFont="1" applyAlignment="1">
      <alignment horizontal="right" wrapText="1"/>
    </xf>
    <xf numFmtId="0" fontId="11" fillId="0" borderId="0" xfId="0" applyFont="1" applyAlignment="1">
      <alignment horizontal="left" wrapText="1"/>
    </xf>
    <xf numFmtId="49" fontId="0" fillId="2" borderId="0" xfId="0" applyNumberFormat="1" applyFill="1" applyAlignment="1">
      <alignment horizontal="center" wrapText="1"/>
    </xf>
    <xf numFmtId="0" fontId="0" fillId="0" borderId="8" xfId="0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146050</xdr:rowOff>
    </xdr:from>
    <xdr:to>
      <xdr:col>20</xdr:col>
      <xdr:colOff>55705</xdr:colOff>
      <xdr:row>36</xdr:row>
      <xdr:rowOff>173862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856039-0894-4E94-9635-85C7D88EF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98500"/>
          <a:ext cx="11561905" cy="61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41</xdr:row>
      <xdr:rowOff>69850</xdr:rowOff>
    </xdr:from>
    <xdr:to>
      <xdr:col>19</xdr:col>
      <xdr:colOff>138333</xdr:colOff>
      <xdr:row>75</xdr:row>
      <xdr:rowOff>180179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CE8022-1C4B-4E52-8F5E-CC6D60C44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00" y="7620000"/>
          <a:ext cx="10933333" cy="6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7"/>
  <sheetViews>
    <sheetView tabSelected="1" workbookViewId="0">
      <selection activeCell="L22" sqref="L22"/>
    </sheetView>
  </sheetViews>
  <sheetFormatPr defaultRowHeight="14.5"/>
  <cols>
    <col min="2" max="2" width="23.6328125" customWidth="1"/>
    <col min="3" max="3" width="17.1796875" customWidth="1"/>
    <col min="4" max="4" width="20.08984375" customWidth="1"/>
    <col min="5" max="5" width="45.08984375" customWidth="1"/>
    <col min="6" max="6" width="20.1796875" customWidth="1"/>
  </cols>
  <sheetData>
    <row r="2" spans="2:6" ht="15" thickBot="1"/>
    <row r="3" spans="2:6" ht="16" thickBot="1">
      <c r="B3" s="1" t="s">
        <v>0</v>
      </c>
      <c r="C3" s="2" t="s">
        <v>1</v>
      </c>
      <c r="D3" s="2" t="s">
        <v>2</v>
      </c>
      <c r="E3" s="9" t="s">
        <v>3</v>
      </c>
      <c r="F3" s="11" t="s">
        <v>51</v>
      </c>
    </row>
    <row r="4" spans="2:6" ht="16" thickBot="1">
      <c r="B4" s="62" t="s">
        <v>24</v>
      </c>
      <c r="C4" s="63"/>
      <c r="D4" s="63"/>
      <c r="E4" s="63"/>
      <c r="F4" s="11"/>
    </row>
    <row r="5" spans="2:6" ht="16" thickBot="1">
      <c r="B5" s="4" t="s">
        <v>25</v>
      </c>
      <c r="C5" s="6" t="s">
        <v>34</v>
      </c>
      <c r="D5" s="6">
        <v>1</v>
      </c>
      <c r="E5" s="8" t="s">
        <v>26</v>
      </c>
      <c r="F5" s="11"/>
    </row>
    <row r="6" spans="2:6" ht="16" thickBot="1">
      <c r="B6" s="4" t="s">
        <v>4</v>
      </c>
      <c r="C6" s="6" t="s">
        <v>34</v>
      </c>
      <c r="D6" s="6">
        <v>1</v>
      </c>
      <c r="E6" s="8" t="s">
        <v>5</v>
      </c>
      <c r="F6" s="11"/>
    </row>
    <row r="7" spans="2:6" ht="16" thickBot="1">
      <c r="B7" s="4" t="s">
        <v>6</v>
      </c>
      <c r="C7" s="6" t="s">
        <v>34</v>
      </c>
      <c r="D7" s="6">
        <v>1</v>
      </c>
      <c r="E7" s="8" t="s">
        <v>7</v>
      </c>
      <c r="F7" s="11"/>
    </row>
    <row r="8" spans="2:6" ht="16" thickBot="1">
      <c r="B8" s="62" t="s">
        <v>40</v>
      </c>
      <c r="C8" s="63"/>
      <c r="D8" s="63"/>
      <c r="E8" s="63"/>
      <c r="F8" s="11"/>
    </row>
    <row r="9" spans="2:6" ht="16" thickBot="1">
      <c r="B9" s="5" t="s">
        <v>39</v>
      </c>
      <c r="C9" s="7" t="s">
        <v>34</v>
      </c>
      <c r="D9" s="7">
        <v>1</v>
      </c>
      <c r="E9" s="10" t="s">
        <v>44</v>
      </c>
      <c r="F9" s="11"/>
    </row>
    <row r="10" spans="2:6" ht="16" thickBot="1">
      <c r="B10" s="5" t="s">
        <v>41</v>
      </c>
      <c r="C10" s="7" t="s">
        <v>36</v>
      </c>
      <c r="D10" s="7">
        <v>1</v>
      </c>
      <c r="E10" s="10" t="s">
        <v>45</v>
      </c>
      <c r="F10" s="11"/>
    </row>
    <row r="11" spans="2:6" ht="16" thickBot="1">
      <c r="B11" s="5" t="s">
        <v>42</v>
      </c>
      <c r="C11" s="7" t="s">
        <v>34</v>
      </c>
      <c r="D11" s="7">
        <v>128</v>
      </c>
      <c r="E11" s="10" t="s">
        <v>46</v>
      </c>
      <c r="F11" s="11"/>
    </row>
    <row r="12" spans="2:6" ht="15" thickBot="1">
      <c r="B12" s="62" t="s">
        <v>27</v>
      </c>
      <c r="C12" s="63"/>
      <c r="D12" s="63"/>
      <c r="E12" s="63"/>
      <c r="F12" s="12"/>
    </row>
    <row r="13" spans="2:6" ht="15" thickBot="1">
      <c r="B13" s="5" t="s">
        <v>8</v>
      </c>
      <c r="C13" s="7" t="s">
        <v>34</v>
      </c>
      <c r="D13" s="7">
        <v>1</v>
      </c>
      <c r="E13" s="10" t="s">
        <v>9</v>
      </c>
      <c r="F13" s="64" t="s">
        <v>43</v>
      </c>
    </row>
    <row r="14" spans="2:6" ht="15" thickBot="1">
      <c r="B14" s="4" t="s">
        <v>10</v>
      </c>
      <c r="C14" s="6" t="s">
        <v>34</v>
      </c>
      <c r="D14" s="6">
        <v>1</v>
      </c>
      <c r="E14" s="8" t="s">
        <v>11</v>
      </c>
      <c r="F14" s="64"/>
    </row>
    <row r="15" spans="2:6" ht="15" thickBot="1">
      <c r="B15" s="4" t="s">
        <v>12</v>
      </c>
      <c r="C15" s="6" t="s">
        <v>34</v>
      </c>
      <c r="D15" s="6">
        <v>16</v>
      </c>
      <c r="E15" s="8" t="s">
        <v>13</v>
      </c>
      <c r="F15" s="64"/>
    </row>
    <row r="16" spans="2:6" ht="15" thickBot="1">
      <c r="B16" s="4" t="s">
        <v>14</v>
      </c>
      <c r="C16" s="6" t="s">
        <v>34</v>
      </c>
      <c r="D16" s="6">
        <v>1</v>
      </c>
      <c r="E16" s="8" t="s">
        <v>15</v>
      </c>
      <c r="F16" s="64"/>
    </row>
    <row r="17" spans="2:6" ht="15" thickBot="1">
      <c r="B17" s="4" t="s">
        <v>16</v>
      </c>
      <c r="C17" s="6" t="s">
        <v>34</v>
      </c>
      <c r="D17" s="6">
        <v>32</v>
      </c>
      <c r="E17" s="8" t="s">
        <v>17</v>
      </c>
      <c r="F17" s="64"/>
    </row>
    <row r="18" spans="2:6" ht="15" thickBot="1">
      <c r="B18" s="4" t="s">
        <v>18</v>
      </c>
      <c r="C18" s="6" t="s">
        <v>36</v>
      </c>
      <c r="D18" s="6">
        <v>1</v>
      </c>
      <c r="E18" s="8" t="s">
        <v>19</v>
      </c>
      <c r="F18" s="64"/>
    </row>
    <row r="19" spans="2:6" ht="15" thickBot="1">
      <c r="B19" s="4" t="s">
        <v>20</v>
      </c>
      <c r="C19" s="6" t="s">
        <v>36</v>
      </c>
      <c r="D19" s="6">
        <v>32</v>
      </c>
      <c r="E19" s="8" t="s">
        <v>21</v>
      </c>
      <c r="F19" s="64"/>
    </row>
    <row r="20" spans="2:6" ht="15" thickBot="1">
      <c r="B20" s="4" t="s">
        <v>22</v>
      </c>
      <c r="C20" s="6" t="s">
        <v>36</v>
      </c>
      <c r="D20" s="6">
        <v>1</v>
      </c>
      <c r="E20" s="8" t="s">
        <v>23</v>
      </c>
      <c r="F20" s="64"/>
    </row>
    <row r="21" spans="2:6" ht="15" thickBot="1">
      <c r="B21" s="62" t="s">
        <v>35</v>
      </c>
      <c r="C21" s="63"/>
      <c r="D21" s="63"/>
      <c r="E21" s="63"/>
      <c r="F21" s="12"/>
    </row>
    <row r="22" spans="2:6" ht="15" thickBot="1">
      <c r="B22" s="5" t="s">
        <v>28</v>
      </c>
      <c r="C22" s="7" t="s">
        <v>36</v>
      </c>
      <c r="D22" s="7">
        <v>1</v>
      </c>
      <c r="E22" s="10" t="s">
        <v>37</v>
      </c>
      <c r="F22" s="61"/>
    </row>
    <row r="23" spans="2:6" ht="15" thickBot="1">
      <c r="B23" s="4" t="s">
        <v>29</v>
      </c>
      <c r="C23" s="6" t="s">
        <v>36</v>
      </c>
      <c r="D23" s="6">
        <v>13</v>
      </c>
      <c r="E23" s="8" t="s">
        <v>47</v>
      </c>
      <c r="F23" s="61"/>
    </row>
    <row r="24" spans="2:6" ht="15" thickBot="1">
      <c r="B24" s="4" t="s">
        <v>30</v>
      </c>
      <c r="C24" s="6" t="s">
        <v>34</v>
      </c>
      <c r="D24" s="6">
        <v>1024</v>
      </c>
      <c r="E24" s="8" t="s">
        <v>50</v>
      </c>
      <c r="F24" s="61"/>
    </row>
    <row r="25" spans="2:6" ht="15" thickBot="1">
      <c r="B25" s="4" t="s">
        <v>31</v>
      </c>
      <c r="C25" s="6" t="s">
        <v>36</v>
      </c>
      <c r="D25" s="6">
        <v>1</v>
      </c>
      <c r="E25" s="8" t="s">
        <v>38</v>
      </c>
      <c r="F25" s="61"/>
    </row>
    <row r="26" spans="2:6" ht="15" thickBot="1">
      <c r="B26" s="4" t="s">
        <v>32</v>
      </c>
      <c r="C26" s="6" t="s">
        <v>36</v>
      </c>
      <c r="D26" s="6">
        <v>13</v>
      </c>
      <c r="E26" s="8" t="s">
        <v>48</v>
      </c>
      <c r="F26" s="61"/>
    </row>
    <row r="27" spans="2:6" ht="15" thickBot="1">
      <c r="B27" s="4" t="s">
        <v>33</v>
      </c>
      <c r="C27" s="6" t="s">
        <v>36</v>
      </c>
      <c r="D27" s="6">
        <v>1024</v>
      </c>
      <c r="E27" s="8" t="s">
        <v>49</v>
      </c>
      <c r="F27" s="61"/>
    </row>
  </sheetData>
  <mergeCells count="6">
    <mergeCell ref="F22:F27"/>
    <mergeCell ref="B4:E4"/>
    <mergeCell ref="B12:E12"/>
    <mergeCell ref="B21:E21"/>
    <mergeCell ref="B8:E8"/>
    <mergeCell ref="F13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F980-8698-40B0-AD30-A23158ACE511}">
  <dimension ref="A1:G20"/>
  <sheetViews>
    <sheetView workbookViewId="0">
      <selection activeCell="E25" sqref="E25"/>
    </sheetView>
  </sheetViews>
  <sheetFormatPr defaultRowHeight="14.5"/>
  <cols>
    <col min="1" max="1" width="19.1796875" customWidth="1"/>
    <col min="2" max="2" width="13.36328125" customWidth="1"/>
    <col min="3" max="3" width="16" customWidth="1"/>
    <col min="4" max="4" width="11.6328125" customWidth="1"/>
    <col min="5" max="5" width="15.1796875" customWidth="1"/>
    <col min="6" max="6" width="12" customWidth="1"/>
    <col min="7" max="7" width="63.08984375" customWidth="1"/>
  </cols>
  <sheetData>
    <row r="1" spans="1:7" ht="15" thickBot="1">
      <c r="A1" s="44" t="s">
        <v>102</v>
      </c>
      <c r="B1" s="44" t="s">
        <v>103</v>
      </c>
      <c r="C1" s="44" t="s">
        <v>104</v>
      </c>
      <c r="D1" s="44" t="s">
        <v>105</v>
      </c>
      <c r="E1" s="45"/>
      <c r="F1" s="45"/>
      <c r="G1" s="46"/>
    </row>
    <row r="2" spans="1:7" ht="15" thickTop="1">
      <c r="A2" s="47" t="s">
        <v>106</v>
      </c>
      <c r="B2" s="47" t="s">
        <v>168</v>
      </c>
      <c r="C2" s="47" t="s">
        <v>107</v>
      </c>
      <c r="D2" s="47" t="s">
        <v>108</v>
      </c>
      <c r="E2" s="45"/>
      <c r="F2" s="45"/>
      <c r="G2" s="46"/>
    </row>
    <row r="3" spans="1:7">
      <c r="A3" s="48"/>
      <c r="D3" s="45"/>
      <c r="E3" s="45"/>
      <c r="F3" s="45"/>
      <c r="G3" s="46"/>
    </row>
    <row r="4" spans="1:7" ht="15" thickBot="1">
      <c r="A4" s="44" t="s">
        <v>109</v>
      </c>
      <c r="B4" s="44" t="s">
        <v>110</v>
      </c>
      <c r="C4" s="44" t="s">
        <v>111</v>
      </c>
      <c r="D4" s="49" t="s">
        <v>112</v>
      </c>
      <c r="E4" s="49" t="s">
        <v>113</v>
      </c>
      <c r="F4" s="49" t="s">
        <v>114</v>
      </c>
      <c r="G4" s="50" t="s">
        <v>115</v>
      </c>
    </row>
    <row r="5" spans="1:7" ht="15" thickTop="1">
      <c r="A5" s="51" t="s">
        <v>116</v>
      </c>
      <c r="B5" s="52" t="s">
        <v>117</v>
      </c>
      <c r="C5" s="52" t="s">
        <v>68</v>
      </c>
      <c r="D5" s="53" t="s">
        <v>118</v>
      </c>
      <c r="E5" s="53" t="s">
        <v>119</v>
      </c>
      <c r="F5" s="53" t="s">
        <v>119</v>
      </c>
      <c r="G5" s="54"/>
    </row>
    <row r="6" spans="1:7">
      <c r="A6" s="55"/>
      <c r="B6" s="55"/>
      <c r="C6" t="s">
        <v>120</v>
      </c>
      <c r="D6" s="45" t="s">
        <v>121</v>
      </c>
      <c r="E6" s="45" t="s">
        <v>122</v>
      </c>
      <c r="F6" s="45" t="s">
        <v>123</v>
      </c>
      <c r="G6" s="46" t="s">
        <v>124</v>
      </c>
    </row>
    <row r="7" spans="1:7">
      <c r="A7" s="56"/>
      <c r="B7" s="56"/>
      <c r="C7" t="s">
        <v>125</v>
      </c>
      <c r="D7" s="45" t="s">
        <v>126</v>
      </c>
      <c r="E7" s="45" t="s">
        <v>122</v>
      </c>
      <c r="F7" s="45" t="s">
        <v>123</v>
      </c>
      <c r="G7" s="46" t="s">
        <v>127</v>
      </c>
    </row>
    <row r="8" spans="1:7">
      <c r="A8" s="56"/>
      <c r="B8" s="56"/>
      <c r="C8" t="s">
        <v>128</v>
      </c>
      <c r="D8" s="45" t="s">
        <v>129</v>
      </c>
      <c r="E8" s="45" t="s">
        <v>122</v>
      </c>
      <c r="F8" s="45" t="s">
        <v>123</v>
      </c>
      <c r="G8" s="46" t="s">
        <v>130</v>
      </c>
    </row>
    <row r="9" spans="1:7">
      <c r="A9" s="56"/>
      <c r="B9" s="56"/>
      <c r="C9" t="s">
        <v>131</v>
      </c>
      <c r="D9" s="45" t="s">
        <v>132</v>
      </c>
      <c r="E9" s="45" t="s">
        <v>122</v>
      </c>
      <c r="F9" s="45" t="s">
        <v>123</v>
      </c>
      <c r="G9" s="46" t="s">
        <v>133</v>
      </c>
    </row>
    <row r="10" spans="1:7">
      <c r="A10" s="51" t="s">
        <v>134</v>
      </c>
      <c r="B10" s="57" t="s">
        <v>135</v>
      </c>
      <c r="C10" s="52" t="s">
        <v>68</v>
      </c>
      <c r="D10" s="53" t="s">
        <v>136</v>
      </c>
      <c r="E10" s="53" t="s">
        <v>119</v>
      </c>
      <c r="F10" s="53" t="s">
        <v>119</v>
      </c>
      <c r="G10" s="54"/>
    </row>
    <row r="11" spans="1:7">
      <c r="A11" s="56"/>
      <c r="B11" s="56"/>
      <c r="C11" t="s">
        <v>137</v>
      </c>
      <c r="D11" s="45" t="s">
        <v>138</v>
      </c>
      <c r="E11" s="45" t="s">
        <v>139</v>
      </c>
      <c r="F11" s="45" t="s">
        <v>140</v>
      </c>
      <c r="G11" s="46" t="s">
        <v>141</v>
      </c>
    </row>
    <row r="12" spans="1:7">
      <c r="A12" s="51" t="s">
        <v>142</v>
      </c>
      <c r="B12" s="57" t="s">
        <v>143</v>
      </c>
      <c r="C12" s="52" t="s">
        <v>68</v>
      </c>
      <c r="D12" s="53" t="s">
        <v>144</v>
      </c>
      <c r="E12" s="53" t="s">
        <v>119</v>
      </c>
      <c r="F12" s="53" t="s">
        <v>119</v>
      </c>
      <c r="G12" s="54"/>
    </row>
    <row r="13" spans="1:7">
      <c r="A13" s="56"/>
      <c r="B13" s="56"/>
      <c r="C13" t="s">
        <v>145</v>
      </c>
      <c r="D13" s="45" t="s">
        <v>146</v>
      </c>
      <c r="E13" s="45" t="s">
        <v>147</v>
      </c>
      <c r="F13" s="45" t="s">
        <v>123</v>
      </c>
      <c r="G13" s="46" t="s">
        <v>148</v>
      </c>
    </row>
    <row r="14" spans="1:7">
      <c r="A14" s="56"/>
      <c r="B14" s="56"/>
      <c r="C14" t="s">
        <v>149</v>
      </c>
      <c r="D14" s="45" t="s">
        <v>150</v>
      </c>
      <c r="E14" s="45" t="s">
        <v>139</v>
      </c>
      <c r="F14" s="45" t="s">
        <v>123</v>
      </c>
      <c r="G14" s="46" t="s">
        <v>151</v>
      </c>
    </row>
    <row r="15" spans="1:7">
      <c r="A15" s="56"/>
      <c r="B15" s="56"/>
      <c r="C15" t="s">
        <v>68</v>
      </c>
      <c r="D15" s="58" t="s">
        <v>152</v>
      </c>
      <c r="E15" s="58" t="s">
        <v>119</v>
      </c>
      <c r="F15" s="58" t="s">
        <v>153</v>
      </c>
      <c r="G15" s="59"/>
    </row>
    <row r="16" spans="1:7">
      <c r="A16" s="56"/>
      <c r="B16" s="56"/>
      <c r="C16" t="s">
        <v>154</v>
      </c>
      <c r="D16" s="45" t="s">
        <v>132</v>
      </c>
      <c r="E16" s="45" t="s">
        <v>139</v>
      </c>
      <c r="F16" s="45" t="s">
        <v>123</v>
      </c>
      <c r="G16" s="46" t="s">
        <v>155</v>
      </c>
    </row>
    <row r="17" spans="1:7">
      <c r="A17" s="51" t="s">
        <v>156</v>
      </c>
      <c r="B17" s="57" t="s">
        <v>157</v>
      </c>
      <c r="C17" s="52" t="s">
        <v>68</v>
      </c>
      <c r="D17" s="53" t="s">
        <v>158</v>
      </c>
      <c r="E17" s="53" t="s">
        <v>119</v>
      </c>
      <c r="F17" s="53" t="s">
        <v>119</v>
      </c>
      <c r="G17" s="54"/>
    </row>
    <row r="18" spans="1:7">
      <c r="A18" s="55"/>
      <c r="B18" s="55"/>
      <c r="C18" t="s">
        <v>159</v>
      </c>
      <c r="D18" s="45" t="s">
        <v>160</v>
      </c>
      <c r="E18" s="45" t="s">
        <v>161</v>
      </c>
      <c r="F18" s="45" t="s">
        <v>123</v>
      </c>
      <c r="G18" s="46" t="s">
        <v>162</v>
      </c>
    </row>
    <row r="19" spans="1:7">
      <c r="A19" s="60"/>
      <c r="B19" s="60"/>
      <c r="C19" t="s">
        <v>68</v>
      </c>
      <c r="D19" s="58" t="s">
        <v>163</v>
      </c>
      <c r="E19" s="58" t="s">
        <v>119</v>
      </c>
      <c r="F19" s="58" t="s">
        <v>153</v>
      </c>
      <c r="G19" s="59"/>
    </row>
    <row r="20" spans="1:7">
      <c r="A20" s="60"/>
      <c r="B20" s="60"/>
      <c r="C20" t="s">
        <v>164</v>
      </c>
      <c r="D20" s="45" t="s">
        <v>138</v>
      </c>
      <c r="E20" s="45" t="s">
        <v>161</v>
      </c>
      <c r="F20" s="45" t="s">
        <v>123</v>
      </c>
      <c r="G20" s="46" t="s">
        <v>162</v>
      </c>
    </row>
  </sheetData>
  <conditionalFormatting sqref="A10:A11">
    <cfRule type="duplicateValues" dxfId="7" priority="2" stopIfTrue="1"/>
  </conditionalFormatting>
  <conditionalFormatting sqref="A12:A15 A1:A5">
    <cfRule type="duplicateValues" dxfId="6" priority="8" stopIfTrue="1"/>
  </conditionalFormatting>
  <conditionalFormatting sqref="A17">
    <cfRule type="duplicateValues" dxfId="5" priority="1" stopIfTrue="1"/>
  </conditionalFormatting>
  <conditionalFormatting sqref="B1">
    <cfRule type="duplicateValues" dxfId="4" priority="7" stopIfTrue="1"/>
  </conditionalFormatting>
  <conditionalFormatting sqref="B4">
    <cfRule type="duplicateValues" dxfId="3" priority="5" stopIfTrue="1"/>
  </conditionalFormatting>
  <conditionalFormatting sqref="B2:D2">
    <cfRule type="duplicateValues" dxfId="2" priority="6" stopIfTrue="1"/>
  </conditionalFormatting>
  <conditionalFormatting sqref="C4">
    <cfRule type="duplicateValues" dxfId="1" priority="4" stopIfTrue="1"/>
  </conditionalFormatting>
  <conditionalFormatting sqref="C1:D1">
    <cfRule type="duplicateValues" dxfId="0" priority="3" stopIfTrue="1"/>
  </conditionalFormatting>
  <dataValidations count="1">
    <dataValidation type="list" allowBlank="1" showInputMessage="1" showErrorMessage="1" sqref="E1:E20" xr:uid="{3C8CBC5C-56CA-49F5-B8E7-2AE019CA9B24}">
      <formula1>"-,RO,RW,W1C,W1P,FFW"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7D5D-6ED7-4F32-80A3-89033CCBA3EF}">
  <dimension ref="B3:G31"/>
  <sheetViews>
    <sheetView workbookViewId="0">
      <selection activeCell="D41" sqref="D41"/>
    </sheetView>
  </sheetViews>
  <sheetFormatPr defaultRowHeight="14.5"/>
  <cols>
    <col min="2" max="2" width="25.90625" customWidth="1"/>
    <col min="3" max="3" width="14.453125" customWidth="1"/>
    <col min="4" max="4" width="33.453125" customWidth="1"/>
    <col min="7" max="7" width="71.1796875" customWidth="1"/>
  </cols>
  <sheetData>
    <row r="3" spans="2:7">
      <c r="B3" s="14" t="s">
        <v>52</v>
      </c>
      <c r="C3" s="15" t="s">
        <v>53</v>
      </c>
      <c r="D3" s="15" t="s">
        <v>54</v>
      </c>
      <c r="E3" s="16" t="s">
        <v>55</v>
      </c>
      <c r="F3" s="16" t="s">
        <v>56</v>
      </c>
      <c r="G3" s="17" t="s">
        <v>57</v>
      </c>
    </row>
    <row r="4" spans="2:7" ht="58">
      <c r="B4" s="14" t="s">
        <v>58</v>
      </c>
      <c r="C4" s="18">
        <v>4</v>
      </c>
      <c r="D4" s="19" t="s">
        <v>165</v>
      </c>
      <c r="E4" s="20">
        <v>3</v>
      </c>
      <c r="F4" s="20">
        <v>0</v>
      </c>
      <c r="G4" s="19" t="s">
        <v>59</v>
      </c>
    </row>
    <row r="5" spans="2:7">
      <c r="B5" s="14" t="s">
        <v>60</v>
      </c>
      <c r="C5" s="18">
        <v>4</v>
      </c>
      <c r="D5" s="19" t="s">
        <v>61</v>
      </c>
      <c r="E5" s="20">
        <f>C5+F5-1</f>
        <v>7</v>
      </c>
      <c r="F5" s="20">
        <f>E4+1</f>
        <v>4</v>
      </c>
      <c r="G5" s="19" t="s">
        <v>62</v>
      </c>
    </row>
    <row r="6" spans="2:7">
      <c r="B6" s="21"/>
      <c r="C6" s="22"/>
      <c r="D6" s="23"/>
      <c r="E6" s="24"/>
      <c r="F6" s="24"/>
      <c r="G6" s="23"/>
    </row>
    <row r="7" spans="2:7">
      <c r="B7" s="21"/>
      <c r="C7" s="25"/>
      <c r="D7" s="26"/>
      <c r="E7" s="27"/>
      <c r="F7" s="27"/>
      <c r="G7" s="26"/>
    </row>
    <row r="8" spans="2:7">
      <c r="B8" s="28" t="s">
        <v>63</v>
      </c>
      <c r="C8" s="29"/>
      <c r="D8" s="29"/>
      <c r="E8" s="30"/>
      <c r="F8" s="30"/>
      <c r="G8" s="31"/>
    </row>
    <row r="9" spans="2:7" ht="29">
      <c r="B9" s="14" t="s">
        <v>64</v>
      </c>
      <c r="C9" s="32">
        <v>1</v>
      </c>
      <c r="D9" s="19" t="s">
        <v>65</v>
      </c>
      <c r="E9" s="33">
        <f>F9+C9-1</f>
        <v>8</v>
      </c>
      <c r="F9" s="33">
        <f>E5+1</f>
        <v>8</v>
      </c>
      <c r="G9" s="34" t="s">
        <v>66</v>
      </c>
    </row>
    <row r="10" spans="2:7">
      <c r="B10" s="35" t="s">
        <v>67</v>
      </c>
      <c r="C10" s="36">
        <v>3</v>
      </c>
      <c r="D10" s="37"/>
      <c r="E10" s="38">
        <f t="shared" ref="E10" si="0">F10+C10-1</f>
        <v>11</v>
      </c>
      <c r="F10" s="33">
        <f>E9+1</f>
        <v>9</v>
      </c>
      <c r="G10" s="37" t="s">
        <v>68</v>
      </c>
    </row>
    <row r="11" spans="2:7">
      <c r="B11" s="14" t="s">
        <v>69</v>
      </c>
      <c r="C11" s="32">
        <v>12</v>
      </c>
      <c r="D11" s="32" t="s">
        <v>93</v>
      </c>
      <c r="E11" s="33">
        <f>F11+C11-1</f>
        <v>23</v>
      </c>
      <c r="F11" s="33">
        <f>E10+1</f>
        <v>12</v>
      </c>
      <c r="G11" s="34" t="s">
        <v>71</v>
      </c>
    </row>
    <row r="12" spans="2:7">
      <c r="B12" s="14" t="s">
        <v>72</v>
      </c>
      <c r="C12" s="32">
        <v>12</v>
      </c>
      <c r="D12" s="32" t="s">
        <v>70</v>
      </c>
      <c r="E12" s="33">
        <f>F12+C12-1</f>
        <v>35</v>
      </c>
      <c r="F12" s="33">
        <f t="shared" ref="F12:F13" si="1">E11+1</f>
        <v>24</v>
      </c>
      <c r="G12" s="34" t="s">
        <v>94</v>
      </c>
    </row>
    <row r="13" spans="2:7">
      <c r="B13" s="14" t="s">
        <v>73</v>
      </c>
      <c r="C13" s="32">
        <v>12</v>
      </c>
      <c r="D13" s="39" t="s">
        <v>74</v>
      </c>
      <c r="E13" s="33">
        <f t="shared" ref="E13:E15" si="2">F13+C13-1</f>
        <v>47</v>
      </c>
      <c r="F13" s="33">
        <f t="shared" si="1"/>
        <v>36</v>
      </c>
      <c r="G13" s="34" t="s">
        <v>75</v>
      </c>
    </row>
    <row r="14" spans="2:7" ht="58">
      <c r="B14" s="14" t="s">
        <v>76</v>
      </c>
      <c r="C14" s="32">
        <v>2</v>
      </c>
      <c r="D14" s="34" t="s">
        <v>77</v>
      </c>
      <c r="E14" s="33">
        <f>F14+C14-1</f>
        <v>49</v>
      </c>
      <c r="F14" s="33">
        <f>E13+1</f>
        <v>48</v>
      </c>
      <c r="G14" s="34" t="s">
        <v>78</v>
      </c>
    </row>
    <row r="15" spans="2:7">
      <c r="B15" s="35" t="s">
        <v>67</v>
      </c>
      <c r="C15" s="36">
        <v>6</v>
      </c>
      <c r="D15" s="37"/>
      <c r="E15" s="38">
        <f t="shared" si="2"/>
        <v>55</v>
      </c>
      <c r="F15" s="33">
        <f>E14+1</f>
        <v>50</v>
      </c>
      <c r="G15" s="37" t="s">
        <v>68</v>
      </c>
    </row>
    <row r="16" spans="2:7">
      <c r="B16" s="21"/>
      <c r="C16" s="29">
        <f>SUM(C9:C15)</f>
        <v>48</v>
      </c>
      <c r="D16" s="31"/>
      <c r="E16" s="3"/>
      <c r="F16" s="3"/>
      <c r="G16" s="31"/>
    </row>
    <row r="17" spans="2:7">
      <c r="B17" s="21"/>
      <c r="C17" s="29"/>
      <c r="D17" s="29"/>
      <c r="E17" s="30"/>
      <c r="F17" s="30"/>
      <c r="G17" s="31"/>
    </row>
    <row r="18" spans="2:7">
      <c r="B18" s="28" t="s">
        <v>79</v>
      </c>
      <c r="C18" s="29"/>
      <c r="D18" s="29"/>
      <c r="E18" s="30"/>
      <c r="F18" s="30"/>
      <c r="G18" s="31"/>
    </row>
    <row r="19" spans="2:7">
      <c r="B19" s="14" t="s">
        <v>52</v>
      </c>
      <c r="C19" s="15" t="s">
        <v>53</v>
      </c>
      <c r="D19" s="15" t="s">
        <v>54</v>
      </c>
      <c r="E19" s="14"/>
      <c r="F19" s="14"/>
      <c r="G19" s="17" t="s">
        <v>57</v>
      </c>
    </row>
    <row r="20" spans="2:7">
      <c r="B20" s="16" t="s">
        <v>80</v>
      </c>
      <c r="C20" s="32">
        <v>13</v>
      </c>
      <c r="D20" s="32" t="s">
        <v>81</v>
      </c>
      <c r="E20" s="33">
        <f>F20+C20-1</f>
        <v>68</v>
      </c>
      <c r="F20" s="33">
        <f>E15+1</f>
        <v>56</v>
      </c>
      <c r="G20" s="40" t="s">
        <v>82</v>
      </c>
    </row>
    <row r="21" spans="2:7">
      <c r="B21" s="16" t="s">
        <v>83</v>
      </c>
      <c r="C21" s="39">
        <v>11</v>
      </c>
      <c r="D21" s="32" t="s">
        <v>84</v>
      </c>
      <c r="E21" s="33">
        <f t="shared" ref="E21:E24" si="3">F21+C21-1</f>
        <v>79</v>
      </c>
      <c r="F21" s="33">
        <f>E20+1</f>
        <v>69</v>
      </c>
      <c r="G21" s="40" t="s">
        <v>85</v>
      </c>
    </row>
    <row r="22" spans="2:7">
      <c r="B22" s="16" t="s">
        <v>86</v>
      </c>
      <c r="C22" s="32">
        <v>13</v>
      </c>
      <c r="D22" s="32" t="s">
        <v>81</v>
      </c>
      <c r="E22" s="33">
        <f t="shared" si="3"/>
        <v>92</v>
      </c>
      <c r="F22" s="33">
        <f>E21+1</f>
        <v>80</v>
      </c>
      <c r="G22" s="40" t="s">
        <v>82</v>
      </c>
    </row>
    <row r="23" spans="2:7">
      <c r="B23" s="16" t="s">
        <v>87</v>
      </c>
      <c r="C23" s="39">
        <v>11</v>
      </c>
      <c r="D23" s="32" t="s">
        <v>84</v>
      </c>
      <c r="E23" s="33">
        <f t="shared" si="3"/>
        <v>103</v>
      </c>
      <c r="F23" s="33">
        <f>E22+1</f>
        <v>93</v>
      </c>
      <c r="G23" s="40" t="s">
        <v>88</v>
      </c>
    </row>
    <row r="24" spans="2:7">
      <c r="B24" s="16" t="s">
        <v>67</v>
      </c>
      <c r="C24" s="39">
        <v>8</v>
      </c>
      <c r="D24" s="32"/>
      <c r="E24" s="33">
        <f t="shared" si="3"/>
        <v>111</v>
      </c>
      <c r="F24" s="33">
        <f>E23+1</f>
        <v>104</v>
      </c>
      <c r="G24" s="34"/>
    </row>
    <row r="25" spans="2:7">
      <c r="B25" s="21"/>
      <c r="C25" s="29">
        <f>SUM(C20:C24)</f>
        <v>56</v>
      </c>
      <c r="D25" s="29"/>
      <c r="E25" s="30"/>
      <c r="F25" s="30"/>
      <c r="G25" s="31"/>
    </row>
    <row r="26" spans="2:7">
      <c r="B26" s="21"/>
      <c r="C26" s="29"/>
      <c r="D26" s="29"/>
      <c r="E26" s="30"/>
      <c r="F26" s="30"/>
      <c r="G26" s="31"/>
    </row>
    <row r="27" spans="2:7">
      <c r="B27" s="28" t="s">
        <v>89</v>
      </c>
      <c r="C27" s="29"/>
      <c r="D27" s="29"/>
      <c r="E27" s="30"/>
      <c r="F27" s="30"/>
      <c r="G27" s="31"/>
    </row>
    <row r="28" spans="2:7">
      <c r="B28" s="14" t="s">
        <v>52</v>
      </c>
      <c r="C28" s="15" t="s">
        <v>53</v>
      </c>
      <c r="D28" s="15" t="s">
        <v>54</v>
      </c>
      <c r="E28" s="14" t="s">
        <v>55</v>
      </c>
      <c r="F28" s="14" t="s">
        <v>56</v>
      </c>
      <c r="G28" s="17" t="s">
        <v>57</v>
      </c>
    </row>
    <row r="29" spans="2:7">
      <c r="B29" s="14" t="s">
        <v>68</v>
      </c>
      <c r="C29" s="32">
        <v>16</v>
      </c>
      <c r="D29" s="34"/>
      <c r="E29" s="33">
        <f t="shared" ref="E29" si="4">F29+C29-1</f>
        <v>127</v>
      </c>
      <c r="F29" s="13">
        <f>E24+1</f>
        <v>112</v>
      </c>
      <c r="G29" s="34" t="s">
        <v>90</v>
      </c>
    </row>
    <row r="30" spans="2:7">
      <c r="B30" s="21"/>
      <c r="C30" s="41"/>
      <c r="D30" s="29"/>
      <c r="E30" s="30"/>
      <c r="F30" s="30"/>
      <c r="G30" s="31"/>
    </row>
    <row r="31" spans="2:7">
      <c r="B31" s="42" t="s">
        <v>91</v>
      </c>
      <c r="C31" s="43">
        <f>E29+1</f>
        <v>128</v>
      </c>
      <c r="D31" s="29" t="s">
        <v>92</v>
      </c>
      <c r="E31" s="30"/>
      <c r="F31" s="30"/>
      <c r="G31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F4BE-4462-44B6-8313-A34D14CCEE85}">
  <dimension ref="B3:G31"/>
  <sheetViews>
    <sheetView workbookViewId="0">
      <selection activeCell="D42" sqref="D42"/>
    </sheetView>
  </sheetViews>
  <sheetFormatPr defaultRowHeight="14.5"/>
  <cols>
    <col min="2" max="2" width="25.36328125" customWidth="1"/>
    <col min="3" max="3" width="12.1796875" customWidth="1"/>
    <col min="4" max="4" width="42" customWidth="1"/>
    <col min="5" max="5" width="11.54296875" customWidth="1"/>
    <col min="6" max="6" width="13" customWidth="1"/>
    <col min="7" max="7" width="64.36328125" customWidth="1"/>
  </cols>
  <sheetData>
    <row r="3" spans="2:7">
      <c r="B3" s="14" t="s">
        <v>52</v>
      </c>
      <c r="C3" s="15" t="s">
        <v>53</v>
      </c>
      <c r="D3" s="15" t="s">
        <v>54</v>
      </c>
      <c r="E3" s="16" t="s">
        <v>55</v>
      </c>
      <c r="F3" s="16" t="s">
        <v>56</v>
      </c>
      <c r="G3" s="17" t="s">
        <v>57</v>
      </c>
    </row>
    <row r="4" spans="2:7" ht="58">
      <c r="B4" s="14" t="s">
        <v>58</v>
      </c>
      <c r="C4" s="18">
        <v>4</v>
      </c>
      <c r="D4" s="19" t="s">
        <v>165</v>
      </c>
      <c r="E4" s="20">
        <v>3</v>
      </c>
      <c r="F4" s="20">
        <v>0</v>
      </c>
      <c r="G4" s="19" t="s">
        <v>95</v>
      </c>
    </row>
    <row r="5" spans="2:7" ht="29">
      <c r="B5" s="14" t="s">
        <v>60</v>
      </c>
      <c r="C5" s="18">
        <v>4</v>
      </c>
      <c r="D5" s="19" t="s">
        <v>61</v>
      </c>
      <c r="E5" s="20">
        <f>C5+F5-1</f>
        <v>7</v>
      </c>
      <c r="F5" s="20">
        <f>E4+1</f>
        <v>4</v>
      </c>
      <c r="G5" s="19" t="s">
        <v>62</v>
      </c>
    </row>
    <row r="6" spans="2:7">
      <c r="B6" s="21"/>
      <c r="C6" s="22"/>
      <c r="D6" s="23"/>
      <c r="E6" s="24"/>
      <c r="F6" s="24"/>
      <c r="G6" s="23"/>
    </row>
    <row r="7" spans="2:7">
      <c r="B7" s="21"/>
      <c r="C7" s="25"/>
      <c r="D7" s="26"/>
      <c r="E7" s="27"/>
      <c r="F7" s="27"/>
      <c r="G7" s="26"/>
    </row>
    <row r="8" spans="2:7">
      <c r="B8" s="28" t="s">
        <v>63</v>
      </c>
      <c r="C8" s="29"/>
      <c r="D8" s="29"/>
      <c r="E8" s="30"/>
      <c r="F8" s="30"/>
      <c r="G8" s="31"/>
    </row>
    <row r="9" spans="2:7" ht="29">
      <c r="B9" s="14" t="s">
        <v>96</v>
      </c>
      <c r="C9" s="32">
        <v>1</v>
      </c>
      <c r="D9" s="19" t="s">
        <v>97</v>
      </c>
      <c r="E9" s="33">
        <f>F9+C9-1</f>
        <v>8</v>
      </c>
      <c r="F9" s="33">
        <f>E5+1</f>
        <v>8</v>
      </c>
      <c r="G9" s="34" t="s">
        <v>101</v>
      </c>
    </row>
    <row r="10" spans="2:7">
      <c r="B10" s="35" t="s">
        <v>67</v>
      </c>
      <c r="C10" s="36">
        <v>3</v>
      </c>
      <c r="D10" s="37"/>
      <c r="E10" s="38">
        <f t="shared" ref="E10" si="0">F10+C10-1</f>
        <v>11</v>
      </c>
      <c r="F10" s="33">
        <f>E9+1</f>
        <v>9</v>
      </c>
      <c r="G10" s="37" t="s">
        <v>68</v>
      </c>
    </row>
    <row r="11" spans="2:7">
      <c r="B11" s="14" t="s">
        <v>69</v>
      </c>
      <c r="C11" s="32">
        <v>12</v>
      </c>
      <c r="D11" s="32" t="s">
        <v>70</v>
      </c>
      <c r="E11" s="33">
        <f>F11+C11-1</f>
        <v>23</v>
      </c>
      <c r="F11" s="33">
        <f>E10+1</f>
        <v>12</v>
      </c>
      <c r="G11" s="34" t="s">
        <v>71</v>
      </c>
    </row>
    <row r="12" spans="2:7">
      <c r="B12" s="14" t="s">
        <v>72</v>
      </c>
      <c r="C12" s="32">
        <v>12</v>
      </c>
      <c r="D12" s="32" t="s">
        <v>70</v>
      </c>
      <c r="E12" s="33">
        <f>F12+C12-1</f>
        <v>35</v>
      </c>
      <c r="F12" s="33">
        <f t="shared" ref="F12:F13" si="1">E11+1</f>
        <v>24</v>
      </c>
      <c r="G12" s="34" t="s">
        <v>94</v>
      </c>
    </row>
    <row r="13" spans="2:7">
      <c r="B13" s="14" t="s">
        <v>73</v>
      </c>
      <c r="C13" s="32">
        <v>12</v>
      </c>
      <c r="D13" s="39" t="s">
        <v>74</v>
      </c>
      <c r="E13" s="33">
        <f t="shared" ref="E13:E15" si="2">F13+C13-1</f>
        <v>47</v>
      </c>
      <c r="F13" s="33">
        <f t="shared" si="1"/>
        <v>36</v>
      </c>
      <c r="G13" s="34" t="s">
        <v>75</v>
      </c>
    </row>
    <row r="14" spans="2:7" ht="29">
      <c r="B14" s="14" t="s">
        <v>98</v>
      </c>
      <c r="C14" s="32">
        <v>1</v>
      </c>
      <c r="D14" s="34" t="s">
        <v>99</v>
      </c>
      <c r="E14" s="33">
        <f>F14+C14-1</f>
        <v>48</v>
      </c>
      <c r="F14" s="33">
        <f>E13+1</f>
        <v>48</v>
      </c>
      <c r="G14" s="34" t="s">
        <v>100</v>
      </c>
    </row>
    <row r="15" spans="2:7">
      <c r="B15" s="35" t="s">
        <v>67</v>
      </c>
      <c r="C15" s="36">
        <v>7</v>
      </c>
      <c r="D15" s="37"/>
      <c r="E15" s="38">
        <f t="shared" si="2"/>
        <v>55</v>
      </c>
      <c r="F15" s="33">
        <f>E14+1</f>
        <v>49</v>
      </c>
      <c r="G15" s="37" t="s">
        <v>68</v>
      </c>
    </row>
    <row r="16" spans="2:7">
      <c r="B16" s="21"/>
      <c r="C16" s="29">
        <f>SUM(C9:C15)</f>
        <v>48</v>
      </c>
      <c r="D16" s="31"/>
      <c r="E16" s="3"/>
      <c r="F16" s="3"/>
      <c r="G16" s="31"/>
    </row>
    <row r="17" spans="2:7">
      <c r="B17" s="21"/>
      <c r="C17" s="29"/>
      <c r="D17" s="29"/>
      <c r="E17" s="30"/>
      <c r="F17" s="30"/>
      <c r="G17" s="31"/>
    </row>
    <row r="18" spans="2:7">
      <c r="B18" s="28" t="s">
        <v>79</v>
      </c>
      <c r="C18" s="29"/>
      <c r="D18" s="29"/>
      <c r="E18" s="30"/>
      <c r="F18" s="30"/>
      <c r="G18" s="31"/>
    </row>
    <row r="19" spans="2:7">
      <c r="B19" s="14" t="s">
        <v>52</v>
      </c>
      <c r="C19" s="15" t="s">
        <v>53</v>
      </c>
      <c r="D19" s="15" t="s">
        <v>54</v>
      </c>
      <c r="E19" s="14"/>
      <c r="F19" s="14"/>
      <c r="G19" s="17" t="s">
        <v>57</v>
      </c>
    </row>
    <row r="20" spans="2:7">
      <c r="B20" s="16" t="s">
        <v>80</v>
      </c>
      <c r="C20" s="32">
        <v>13</v>
      </c>
      <c r="D20" s="32" t="s">
        <v>81</v>
      </c>
      <c r="E20" s="33">
        <f>F20+C20-1</f>
        <v>68</v>
      </c>
      <c r="F20" s="33">
        <f>E15+1</f>
        <v>56</v>
      </c>
      <c r="G20" s="40" t="s">
        <v>82</v>
      </c>
    </row>
    <row r="21" spans="2:7">
      <c r="B21" s="16" t="s">
        <v>83</v>
      </c>
      <c r="C21" s="39">
        <v>11</v>
      </c>
      <c r="D21" s="32" t="s">
        <v>84</v>
      </c>
      <c r="E21" s="33">
        <f t="shared" ref="E21:E24" si="3">F21+C21-1</f>
        <v>79</v>
      </c>
      <c r="F21" s="33">
        <f>E20+1</f>
        <v>69</v>
      </c>
      <c r="G21" s="40" t="s">
        <v>85</v>
      </c>
    </row>
    <row r="22" spans="2:7">
      <c r="B22" s="16" t="s">
        <v>86</v>
      </c>
      <c r="C22" s="32">
        <v>13</v>
      </c>
      <c r="D22" s="32" t="s">
        <v>81</v>
      </c>
      <c r="E22" s="33">
        <f t="shared" si="3"/>
        <v>92</v>
      </c>
      <c r="F22" s="33">
        <f>E21+1</f>
        <v>80</v>
      </c>
      <c r="G22" s="40" t="s">
        <v>82</v>
      </c>
    </row>
    <row r="23" spans="2:7">
      <c r="B23" s="16" t="s">
        <v>87</v>
      </c>
      <c r="C23" s="39">
        <v>11</v>
      </c>
      <c r="D23" s="32" t="s">
        <v>84</v>
      </c>
      <c r="E23" s="33">
        <f t="shared" si="3"/>
        <v>103</v>
      </c>
      <c r="F23" s="33">
        <f>E22+1</f>
        <v>93</v>
      </c>
      <c r="G23" s="40" t="s">
        <v>88</v>
      </c>
    </row>
    <row r="24" spans="2:7">
      <c r="B24" s="16" t="s">
        <v>67</v>
      </c>
      <c r="C24" s="39">
        <v>8</v>
      </c>
      <c r="D24" s="32"/>
      <c r="E24" s="33">
        <f t="shared" si="3"/>
        <v>111</v>
      </c>
      <c r="F24" s="33">
        <f>E23+1</f>
        <v>104</v>
      </c>
      <c r="G24" s="34"/>
    </row>
    <row r="25" spans="2:7">
      <c r="B25" s="21"/>
      <c r="C25" s="29">
        <f>SUM(C20:C24)</f>
        <v>56</v>
      </c>
      <c r="D25" s="29"/>
      <c r="E25" s="30"/>
      <c r="F25" s="30"/>
      <c r="G25" s="31"/>
    </row>
    <row r="26" spans="2:7">
      <c r="B26" s="21"/>
      <c r="C26" s="29"/>
      <c r="D26" s="29"/>
      <c r="E26" s="30"/>
      <c r="F26" s="30"/>
      <c r="G26" s="31"/>
    </row>
    <row r="27" spans="2:7">
      <c r="B27" s="28" t="s">
        <v>89</v>
      </c>
      <c r="C27" s="29"/>
      <c r="D27" s="29"/>
      <c r="E27" s="30"/>
      <c r="F27" s="30"/>
      <c r="G27" s="31"/>
    </row>
    <row r="28" spans="2:7">
      <c r="B28" s="14" t="s">
        <v>52</v>
      </c>
      <c r="C28" s="15" t="s">
        <v>53</v>
      </c>
      <c r="D28" s="15" t="s">
        <v>54</v>
      </c>
      <c r="E28" s="14" t="s">
        <v>55</v>
      </c>
      <c r="F28" s="14" t="s">
        <v>56</v>
      </c>
      <c r="G28" s="17" t="s">
        <v>57</v>
      </c>
    </row>
    <row r="29" spans="2:7">
      <c r="B29" s="14" t="s">
        <v>68</v>
      </c>
      <c r="C29" s="32">
        <v>16</v>
      </c>
      <c r="D29" s="34"/>
      <c r="E29" s="33">
        <f t="shared" ref="E29" si="4">F29+C29-1</f>
        <v>127</v>
      </c>
      <c r="F29" s="13">
        <f>E24+1</f>
        <v>112</v>
      </c>
      <c r="G29" s="34" t="s">
        <v>90</v>
      </c>
    </row>
    <row r="30" spans="2:7">
      <c r="B30" s="21"/>
      <c r="C30" s="41"/>
      <c r="D30" s="29"/>
      <c r="E30" s="30"/>
      <c r="F30" s="30"/>
      <c r="G30" s="31"/>
    </row>
    <row r="31" spans="2:7">
      <c r="B31" s="42" t="s">
        <v>91</v>
      </c>
      <c r="C31" s="43">
        <f>E29+1</f>
        <v>128</v>
      </c>
      <c r="D31" s="29" t="s">
        <v>92</v>
      </c>
      <c r="E31" s="30"/>
      <c r="F31" s="30"/>
      <c r="G31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C70B-FEAB-4B47-9C2E-24D16876245D}">
  <dimension ref="C3:C41"/>
  <sheetViews>
    <sheetView topLeftCell="A4" workbookViewId="0">
      <selection activeCell="W39" sqref="W39"/>
    </sheetView>
  </sheetViews>
  <sheetFormatPr defaultRowHeight="14.5"/>
  <sheetData>
    <row r="3" spans="3:3">
      <c r="C3" t="s">
        <v>166</v>
      </c>
    </row>
    <row r="41" spans="3:3">
      <c r="C41" t="s">
        <v>167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IO</vt:lpstr>
      <vt:lpstr>RegisterList</vt:lpstr>
      <vt:lpstr>Instruction(Resize)</vt:lpstr>
      <vt:lpstr>Instruction(SPU)</vt:lpstr>
      <vt:lpstr>BufferStructure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xuejiaoliu</dc:creator>
  <cp:lastModifiedBy>xuejiaoliu</cp:lastModifiedBy>
  <dcterms:created xsi:type="dcterms:W3CDTF">2015-06-05T18:17:20Z</dcterms:created>
  <dcterms:modified xsi:type="dcterms:W3CDTF">2023-08-15T04:58:09Z</dcterms:modified>
</cp:coreProperties>
</file>